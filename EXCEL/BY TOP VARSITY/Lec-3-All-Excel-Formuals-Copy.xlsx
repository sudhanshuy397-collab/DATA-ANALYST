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13_ncr:1_{1226A6C8-7730-4551-8397-501BAB54694A}" xr6:coauthVersionLast="47" xr6:coauthVersionMax="47" xr10:uidLastSave="{00000000-0000-0000-0000-000000000000}"/>
  <bookViews>
    <workbookView xWindow="-108" yWindow="-108" windowWidth="23256" windowHeight="13176" firstSheet="7" activeTab="11" xr2:uid="{00000000-000D-0000-FFFF-FFFF00000000}"/>
  </bookViews>
  <sheets>
    <sheet name="🔹 ALL FORMULAS" sheetId="13" r:id="rId1"/>
    <sheet name="🔹 1. SUM" sheetId="1" r:id="rId2"/>
    <sheet name="🔹 2. AVERAGE" sheetId="2" r:id="rId3"/>
    <sheet name="🔹 3. COUNT - COUNTA" sheetId="3" r:id="rId4"/>
    <sheet name="🔹 4. MIN - MAX" sheetId="4" r:id="rId5"/>
    <sheet name="🔹 5. IF" sheetId="5" r:id="rId6"/>
    <sheet name="🔹 6. SUMIF - COUNTIF" sheetId="6" r:id="rId7"/>
    <sheet name="🔹 7. CONCAT - TEXTJOIN" sheetId="7" r:id="rId8"/>
    <sheet name="🔹 8. VLOOKUP - XLOOKUP" sheetId="8" r:id="rId9"/>
    <sheet name="Sheet4" sheetId="17" r:id="rId10"/>
    <sheet name="Sheet2" sheetId="15" r:id="rId11"/>
    <sheet name="🔹 9. LEFT - RIGHT" sheetId="9" r:id="rId12"/>
    <sheet name="🔹 10. LEN &amp; TRIM" sheetId="10" r:id="rId13"/>
    <sheet name="🔹 11. TODAY - NOW" sheetId="11" r:id="rId14"/>
  </sheets>
  <definedNames>
    <definedName name="_xlnm._FilterDatabase" localSheetId="11" hidden="1">'🔹 9. LEFT - RIGHT'!$K$2:$L$6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9" l="1"/>
  <c r="E14" i="9"/>
  <c r="E15" i="9"/>
  <c r="E16" i="9"/>
  <c r="E17" i="9"/>
  <c r="E18" i="9"/>
  <c r="E19" i="9"/>
  <c r="E20" i="9"/>
  <c r="E12" i="9"/>
  <c r="F13" i="9"/>
  <c r="F14" i="9"/>
  <c r="F15" i="9"/>
  <c r="F16" i="9"/>
  <c r="F17" i="9"/>
  <c r="F18" i="9"/>
  <c r="F19" i="9"/>
  <c r="F20" i="9"/>
  <c r="F12" i="9"/>
  <c r="D13" i="9"/>
  <c r="D14" i="9"/>
  <c r="D15" i="9"/>
  <c r="D16" i="9"/>
  <c r="D17" i="9"/>
  <c r="D18" i="9"/>
  <c r="D19" i="9"/>
  <c r="D20" i="9"/>
  <c r="D12" i="9"/>
  <c r="N17" i="8"/>
  <c r="N18" i="8"/>
  <c r="N19" i="8"/>
  <c r="N21" i="8"/>
  <c r="N22" i="8"/>
  <c r="N23" i="8"/>
  <c r="N24" i="8"/>
  <c r="N25" i="8"/>
  <c r="N26" i="8"/>
  <c r="N20" i="8"/>
  <c r="N3" i="8"/>
  <c r="M2" i="8"/>
  <c r="N2" i="8"/>
  <c r="J6" i="7"/>
  <c r="J3" i="7"/>
  <c r="L6" i="6"/>
  <c r="L3" i="6"/>
  <c r="L2" i="6"/>
  <c r="I4" i="5"/>
  <c r="I5" i="5"/>
  <c r="I6" i="5"/>
  <c r="I7" i="5"/>
  <c r="I8" i="5"/>
  <c r="I9" i="5"/>
  <c r="I3" i="5"/>
  <c r="M4" i="5"/>
  <c r="L2" i="4"/>
  <c r="L7" i="3"/>
  <c r="K5" i="3"/>
  <c r="L4" i="3"/>
  <c r="L3" i="3"/>
  <c r="L3" i="2"/>
  <c r="L6" i="1"/>
  <c r="L4" i="1"/>
  <c r="L8" i="11"/>
  <c r="K6" i="11"/>
  <c r="M6" i="11" s="1"/>
  <c r="K4" i="10"/>
  <c r="K5" i="10"/>
  <c r="K6" i="10"/>
  <c r="K7" i="10"/>
  <c r="K8" i="10"/>
  <c r="K9" i="10"/>
  <c r="K3" i="10"/>
  <c r="E11" i="10"/>
  <c r="K4" i="9"/>
  <c r="K5" i="9"/>
  <c r="K6" i="9"/>
  <c r="K7" i="9"/>
  <c r="K8" i="9"/>
  <c r="K9" i="9"/>
  <c r="K3" i="9"/>
  <c r="J4" i="9"/>
  <c r="J5" i="9"/>
  <c r="J6" i="9"/>
  <c r="J7" i="9"/>
  <c r="J8" i="9"/>
  <c r="J9" i="9"/>
  <c r="J3" i="9"/>
  <c r="I16" i="9"/>
  <c r="I12" i="9"/>
  <c r="L3" i="11"/>
  <c r="L2" i="11"/>
  <c r="N2" i="11" s="1"/>
  <c r="J5" i="10"/>
  <c r="J4" i="10"/>
  <c r="J3" i="10"/>
  <c r="N5" i="17"/>
  <c r="O6" i="17"/>
  <c r="O7" i="17"/>
  <c r="O8" i="17"/>
  <c r="O9" i="17"/>
  <c r="O10" i="17"/>
  <c r="O11" i="17"/>
  <c r="O12" i="17"/>
  <c r="O13" i="17"/>
  <c r="O14" i="17"/>
  <c r="O15" i="17"/>
  <c r="O5" i="17"/>
  <c r="K5" i="17"/>
  <c r="D14" i="15"/>
  <c r="N6" i="17"/>
  <c r="N7" i="17"/>
  <c r="N8" i="17"/>
  <c r="N9" i="17"/>
  <c r="N10" i="17"/>
  <c r="N11" i="17"/>
  <c r="N12" i="17"/>
  <c r="N13" i="17"/>
  <c r="N14" i="17"/>
  <c r="N15" i="17"/>
  <c r="H14" i="6"/>
  <c r="H13" i="6"/>
  <c r="M3" i="4"/>
  <c r="M2" i="4"/>
  <c r="K13" i="4"/>
  <c r="K12" i="4"/>
  <c r="J15" i="3"/>
  <c r="J14" i="3"/>
  <c r="J13" i="3"/>
  <c r="F16" i="3"/>
  <c r="F15" i="3"/>
  <c r="L2" i="2"/>
  <c r="E10" i="2"/>
  <c r="F14" i="1"/>
  <c r="E11" i="1"/>
  <c r="J6" i="10"/>
  <c r="J7" i="10"/>
  <c r="J8" i="10"/>
  <c r="J9" i="10"/>
  <c r="N3" i="9"/>
  <c r="L15" i="8"/>
  <c r="R7" i="5"/>
  <c r="R6" i="5"/>
  <c r="L3" i="4"/>
  <c r="L5" i="3"/>
  <c r="L3" i="1"/>
</calcChain>
</file>

<file path=xl/sharedStrings.xml><?xml version="1.0" encoding="utf-8"?>
<sst xmlns="http://schemas.openxmlformats.org/spreadsheetml/2006/main" count="526" uniqueCount="143">
  <si>
    <t>Formula</t>
  </si>
  <si>
    <t>Syntax Example</t>
  </si>
  <si>
    <t>Use / Description</t>
  </si>
  <si>
    <t>SUM</t>
  </si>
  <si>
    <t>=SUM(A1:A10)</t>
  </si>
  <si>
    <t>Adds up all numbers in the given range.</t>
  </si>
  <si>
    <t>AVERAGE</t>
  </si>
  <si>
    <t>=AVERAGE(A1:A10)</t>
  </si>
  <si>
    <t>Calculates the mean of values.</t>
  </si>
  <si>
    <t>COUNT</t>
  </si>
  <si>
    <t>=COUNT(A1:A10)</t>
  </si>
  <si>
    <t>Counts only numeric values in a range.</t>
  </si>
  <si>
    <t>COUNTA</t>
  </si>
  <si>
    <t>=COUNTA(A1:A10)</t>
  </si>
  <si>
    <t>Counts all non-empty cells (text + numbers).</t>
  </si>
  <si>
    <t>MIN</t>
  </si>
  <si>
    <t>=MIN(A1:A10)</t>
  </si>
  <si>
    <t>Returns the smallest number in a range.</t>
  </si>
  <si>
    <t>MAX</t>
  </si>
  <si>
    <t>=MAX(A1:A10)</t>
  </si>
  <si>
    <t>Returns the largest number in a range.</t>
  </si>
  <si>
    <t>IF</t>
  </si>
  <si>
    <t>=IF(A2&gt;100, "High", "Low")</t>
  </si>
  <si>
    <t>Applies logic: returns “High” if A2 &gt; 100, else “Low”.</t>
  </si>
  <si>
    <t>SUMIF</t>
  </si>
  <si>
    <t>=SUMIF(A1:A10, "&gt;100")</t>
  </si>
  <si>
    <t>Adds values that meet a condition (e.g., greater than 100).</t>
  </si>
  <si>
    <t>COUNTIF</t>
  </si>
  <si>
    <t>=COUNTIF(B1:B10, "Apple")</t>
  </si>
  <si>
    <t>Counts how many times “Apple” appears.</t>
  </si>
  <si>
    <t>VLOOKUP</t>
  </si>
  <si>
    <t>=VLOOKUP(101, A2:C10, 2, FALSE)</t>
  </si>
  <si>
    <t>Searches for a value vertically in a table.</t>
  </si>
  <si>
    <t>XLOOKUP</t>
  </si>
  <si>
    <t>=XLOOKUP(101, A2:A10, B2:B10)</t>
  </si>
  <si>
    <t>Replaces VLOOKUP with more flexibility and reliability.</t>
  </si>
  <si>
    <t>LEFT</t>
  </si>
  <si>
    <t>=LEFT(A2, 4)</t>
  </si>
  <si>
    <t>Extracts first 4 characters from text.</t>
  </si>
  <si>
    <t>RIGHT</t>
  </si>
  <si>
    <t>=RIGHT(A2, 3)</t>
  </si>
  <si>
    <t>Extracts last 3 characters from text.</t>
  </si>
  <si>
    <t>MID</t>
  </si>
  <si>
    <t>=MID(A2, 3, 5)</t>
  </si>
  <si>
    <t>Extracts 5 characters starting from the 3rd character.</t>
  </si>
  <si>
    <t>LEN</t>
  </si>
  <si>
    <t>=LEN(A2)</t>
  </si>
  <si>
    <t>Returns length of text in a cell.</t>
  </si>
  <si>
    <t>TRIM</t>
  </si>
  <si>
    <t>=TRIM(A2)</t>
  </si>
  <si>
    <t>Removes all extra spaces from text (except single spaces).</t>
  </si>
  <si>
    <t>CONCAT</t>
  </si>
  <si>
    <t>=CONCAT(A2, B2)</t>
  </si>
  <si>
    <t>Joins two or more strings (cells).</t>
  </si>
  <si>
    <t>TEXTJOIN</t>
  </si>
  <si>
    <t>=TEXTJOIN(" ", TRUE, A2, B2)</t>
  </si>
  <si>
    <t>Joins text with a delimiter, ignoring empty cells.</t>
  </si>
  <si>
    <t>TODAY</t>
  </si>
  <si>
    <t>=TODAY()</t>
  </si>
  <si>
    <t>Returns the current date.</t>
  </si>
  <si>
    <t>NOW</t>
  </si>
  <si>
    <t>=NOW()</t>
  </si>
  <si>
    <t>Returns the current date and time.</t>
  </si>
  <si>
    <t>Order ID</t>
  </si>
  <si>
    <t>Product</t>
  </si>
  <si>
    <t>Category</t>
  </si>
  <si>
    <t>Units Sold</t>
  </si>
  <si>
    <t>Unit Price</t>
  </si>
  <si>
    <t>Sale Date</t>
  </si>
  <si>
    <t>Customer Name</t>
  </si>
  <si>
    <t>Q.</t>
  </si>
  <si>
    <t>Find Total units sold</t>
  </si>
  <si>
    <t>Pen</t>
  </si>
  <si>
    <t>Stationery</t>
  </si>
  <si>
    <t>Alice Smith</t>
  </si>
  <si>
    <t>Notebook</t>
  </si>
  <si>
    <t>Bob Johnson</t>
  </si>
  <si>
    <t>Mouse</t>
  </si>
  <si>
    <t>Electronics</t>
  </si>
  <si>
    <t>Charlie Green</t>
  </si>
  <si>
    <t>Charger</t>
  </si>
  <si>
    <t>Daisy Brown</t>
  </si>
  <si>
    <t>Bottle</t>
  </si>
  <si>
    <t>Kitchen</t>
  </si>
  <si>
    <t>Eva White</t>
  </si>
  <si>
    <t>Frank Black</t>
  </si>
  <si>
    <t>Grace Lee</t>
  </si>
  <si>
    <t>Find Average unit price</t>
  </si>
  <si>
    <t>Count total Orders</t>
  </si>
  <si>
    <t>Only for Numeric Values</t>
  </si>
  <si>
    <t>Count total categories ordered</t>
  </si>
  <si>
    <t>For non empty cells</t>
  </si>
  <si>
    <t>Count unique categories ordered</t>
  </si>
  <si>
    <t>FORMULA FOR UNIQUE</t>
  </si>
  <si>
    <t>NA</t>
  </si>
  <si>
    <t>Find Min unit price</t>
  </si>
  <si>
    <t>Find Max unit price</t>
  </si>
  <si>
    <t>Minimum</t>
  </si>
  <si>
    <t>Maximum</t>
  </si>
  <si>
    <t>BULK ORDERS</t>
  </si>
  <si>
    <t xml:space="preserve"> Check bulk orders</t>
  </si>
  <si>
    <t>-</t>
  </si>
  <si>
    <t>Bulk order will be if it is more than 4 Units</t>
  </si>
  <si>
    <t>&lt;</t>
  </si>
  <si>
    <t>&lt;=</t>
  </si>
  <si>
    <t>&gt;</t>
  </si>
  <si>
    <t>&gt;=</t>
  </si>
  <si>
    <t>Total Units sold in Stationery</t>
  </si>
  <si>
    <t>Count how many times “Pen” was sold</t>
  </si>
  <si>
    <t>Calculate the sum of unit prices of notebooks sold in statenory category</t>
  </si>
  <si>
    <t>Find Sum of Unit Price</t>
  </si>
  <si>
    <t>Category - Stationery</t>
  </si>
  <si>
    <t>Product - Notebook</t>
  </si>
  <si>
    <t>Find product for Order ID 103</t>
  </si>
  <si>
    <t>Units sold of "Bottle"</t>
  </si>
  <si>
    <t>Xlookup</t>
  </si>
  <si>
    <t>Vlookup</t>
  </si>
  <si>
    <t>Customer name</t>
  </si>
  <si>
    <t>Categories</t>
  </si>
  <si>
    <t>Tablet</t>
  </si>
  <si>
    <t>🔸 Quick Comparison</t>
  </si>
  <si>
    <t>Feature</t>
  </si>
  <si>
    <t>Direction</t>
  </si>
  <si>
    <t>Only right</t>
  </si>
  <si>
    <t>Both directions</t>
  </si>
  <si>
    <t>Not Found Handling</t>
  </si>
  <si>
    <t>Returns</t>
  </si>
  <si>
    <t>Custom message possible</t>
  </si>
  <si>
    <t>Return Range</t>
  </si>
  <si>
    <t>Column number</t>
  </si>
  <si>
    <t>Direct range</t>
  </si>
  <si>
    <t>Availability</t>
  </si>
  <si>
    <t>Older Excel (Excel 2007+)</t>
  </si>
  <si>
    <t>Excel 2021 / Office 365+</t>
  </si>
  <si>
    <t>**** **** **2345</t>
  </si>
  <si>
    <t>Alice    Smith</t>
  </si>
  <si>
    <t>Bob       Johnson</t>
  </si>
  <si>
    <t>Charlie   Green</t>
  </si>
  <si>
    <t>Daisy            Brown</t>
  </si>
  <si>
    <t>Eva       White</t>
  </si>
  <si>
    <t>Frank       Black</t>
  </si>
  <si>
    <t>Grace       Lee</t>
  </si>
  <si>
    <t>find total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</si>
</sst>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0.0"/>
    <numFmt numFmtId="166" formatCode="h:mm:ss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/>
    <xf numFmtId="14" fontId="0" fillId="0" borderId="0" xfId="0" applyNumberFormat="1"/>
    <xf numFmtId="14" fontId="0" fillId="0" borderId="1" xfId="0" applyNumberFormat="1" applyBorder="1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22" fontId="0" fillId="0" borderId="0" xfId="0" applyNumberFormat="1"/>
    <xf numFmtId="0" fontId="1" fillId="2" borderId="1" xfId="0" applyFont="1" applyFill="1" applyBorder="1" applyAlignment="1">
      <alignment horizontal="center"/>
    </xf>
    <xf numFmtId="0" fontId="3" fillId="3" borderId="0" xfId="0" applyFont="1" applyFill="1"/>
    <xf numFmtId="1" fontId="3" fillId="3" borderId="0" xfId="0" applyNumberFormat="1" applyFont="1" applyFill="1"/>
    <xf numFmtId="0" fontId="1" fillId="4" borderId="1" xfId="0" applyFont="1" applyFill="1" applyBorder="1"/>
    <xf numFmtId="0" fontId="0" fillId="3" borderId="1" xfId="0" applyFill="1" applyBorder="1"/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0" fillId="3" borderId="1" xfId="0" quotePrefix="1" applyFill="1" applyBorder="1"/>
    <xf numFmtId="165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1" xfId="0" applyFont="1" applyBorder="1"/>
    <xf numFmtId="0" fontId="3" fillId="6" borderId="1" xfId="0" applyFont="1" applyFill="1" applyBorder="1"/>
    <xf numFmtId="14" fontId="0" fillId="3" borderId="1" xfId="0" applyNumberFormat="1" applyFill="1" applyBorder="1"/>
    <xf numFmtId="0" fontId="0" fillId="0" borderId="2" xfId="0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 vertical="center"/>
    </xf>
    <xf numFmtId="1" fontId="0" fillId="7" borderId="0" xfId="0" applyNumberFormat="1" applyFill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0EE5-8D59-48ED-810E-9A686C6F4629}">
  <dimension ref="B2:D22"/>
  <sheetViews>
    <sheetView workbookViewId="0">
      <selection activeCell="G9" sqref="G9"/>
    </sheetView>
  </sheetViews>
  <sheetFormatPr defaultRowHeight="14.4" x14ac:dyDescent="0.3"/>
  <cols>
    <col min="2" max="2" width="10.88671875" customWidth="1"/>
    <col min="3" max="3" width="31.88671875" customWidth="1"/>
    <col min="4" max="4" width="50.33203125" bestFit="1" customWidth="1"/>
    <col min="7" max="7" width="14.44140625" bestFit="1" customWidth="1"/>
  </cols>
  <sheetData>
    <row r="2" spans="2:4" x14ac:dyDescent="0.3">
      <c r="B2" s="11" t="s">
        <v>0</v>
      </c>
      <c r="C2" s="3" t="s">
        <v>1</v>
      </c>
      <c r="D2" s="3" t="s">
        <v>2</v>
      </c>
    </row>
    <row r="3" spans="2:4" x14ac:dyDescent="0.3">
      <c r="B3" s="23" t="s">
        <v>3</v>
      </c>
      <c r="C3" s="24" t="s">
        <v>4</v>
      </c>
      <c r="D3" s="15" t="s">
        <v>5</v>
      </c>
    </row>
    <row r="4" spans="2:4" x14ac:dyDescent="0.3">
      <c r="B4" s="23" t="s">
        <v>6</v>
      </c>
      <c r="C4" s="24" t="s">
        <v>7</v>
      </c>
      <c r="D4" s="15" t="s">
        <v>8</v>
      </c>
    </row>
    <row r="5" spans="2:4" x14ac:dyDescent="0.3">
      <c r="B5" s="23" t="s">
        <v>9</v>
      </c>
      <c r="C5" s="24" t="s">
        <v>10</v>
      </c>
      <c r="D5" s="15" t="s">
        <v>11</v>
      </c>
    </row>
    <row r="6" spans="2:4" x14ac:dyDescent="0.3">
      <c r="B6" s="23" t="s">
        <v>12</v>
      </c>
      <c r="C6" s="24" t="s">
        <v>13</v>
      </c>
      <c r="D6" s="15" t="s">
        <v>14</v>
      </c>
    </row>
    <row r="7" spans="2:4" x14ac:dyDescent="0.3">
      <c r="B7" s="23" t="s">
        <v>15</v>
      </c>
      <c r="C7" s="24" t="s">
        <v>16</v>
      </c>
      <c r="D7" s="15" t="s">
        <v>17</v>
      </c>
    </row>
    <row r="8" spans="2:4" x14ac:dyDescent="0.3">
      <c r="B8" s="23" t="s">
        <v>18</v>
      </c>
      <c r="C8" s="24" t="s">
        <v>19</v>
      </c>
      <c r="D8" s="15" t="s">
        <v>20</v>
      </c>
    </row>
    <row r="9" spans="2:4" x14ac:dyDescent="0.3">
      <c r="B9" s="23" t="s">
        <v>21</v>
      </c>
      <c r="C9" s="24" t="s">
        <v>22</v>
      </c>
      <c r="D9" s="15" t="s">
        <v>23</v>
      </c>
    </row>
    <row r="10" spans="2:4" x14ac:dyDescent="0.3">
      <c r="B10" s="23" t="s">
        <v>24</v>
      </c>
      <c r="C10" s="24" t="s">
        <v>25</v>
      </c>
      <c r="D10" s="15" t="s">
        <v>26</v>
      </c>
    </row>
    <row r="11" spans="2:4" x14ac:dyDescent="0.3">
      <c r="B11" s="23" t="s">
        <v>27</v>
      </c>
      <c r="C11" s="24" t="s">
        <v>28</v>
      </c>
      <c r="D11" s="15" t="s">
        <v>29</v>
      </c>
    </row>
    <row r="12" spans="2:4" x14ac:dyDescent="0.3">
      <c r="B12" s="8" t="s">
        <v>30</v>
      </c>
      <c r="C12" s="2" t="s">
        <v>31</v>
      </c>
      <c r="D12" s="1" t="s">
        <v>32</v>
      </c>
    </row>
    <row r="13" spans="2:4" x14ac:dyDescent="0.3">
      <c r="B13" s="8" t="s">
        <v>33</v>
      </c>
      <c r="C13" s="2" t="s">
        <v>34</v>
      </c>
      <c r="D13" s="1" t="s">
        <v>35</v>
      </c>
    </row>
    <row r="14" spans="2:4" x14ac:dyDescent="0.3">
      <c r="B14" s="8" t="s">
        <v>36</v>
      </c>
      <c r="C14" s="2" t="s">
        <v>37</v>
      </c>
      <c r="D14" s="1" t="s">
        <v>38</v>
      </c>
    </row>
    <row r="15" spans="2:4" x14ac:dyDescent="0.3">
      <c r="B15" s="8" t="s">
        <v>39</v>
      </c>
      <c r="C15" s="2" t="s">
        <v>40</v>
      </c>
      <c r="D15" s="1" t="s">
        <v>41</v>
      </c>
    </row>
    <row r="16" spans="2:4" x14ac:dyDescent="0.3">
      <c r="B16" s="8" t="s">
        <v>42</v>
      </c>
      <c r="C16" s="2" t="s">
        <v>43</v>
      </c>
      <c r="D16" s="1" t="s">
        <v>44</v>
      </c>
    </row>
    <row r="17" spans="2:4" x14ac:dyDescent="0.3">
      <c r="B17" s="8" t="s">
        <v>45</v>
      </c>
      <c r="C17" s="2" t="s">
        <v>46</v>
      </c>
      <c r="D17" s="1" t="s">
        <v>47</v>
      </c>
    </row>
    <row r="18" spans="2:4" x14ac:dyDescent="0.3">
      <c r="B18" s="8" t="s">
        <v>48</v>
      </c>
      <c r="C18" s="2" t="s">
        <v>49</v>
      </c>
      <c r="D18" s="1" t="s">
        <v>50</v>
      </c>
    </row>
    <row r="19" spans="2:4" x14ac:dyDescent="0.3">
      <c r="B19" s="8" t="s">
        <v>51</v>
      </c>
      <c r="C19" s="2" t="s">
        <v>52</v>
      </c>
      <c r="D19" s="1" t="s">
        <v>53</v>
      </c>
    </row>
    <row r="20" spans="2:4" x14ac:dyDescent="0.3">
      <c r="B20" s="8" t="s">
        <v>54</v>
      </c>
      <c r="C20" s="2" t="s">
        <v>55</v>
      </c>
      <c r="D20" s="1" t="s">
        <v>56</v>
      </c>
    </row>
    <row r="21" spans="2:4" x14ac:dyDescent="0.3">
      <c r="B21" s="8" t="s">
        <v>57</v>
      </c>
      <c r="C21" s="2" t="s">
        <v>58</v>
      </c>
      <c r="D21" s="1" t="s">
        <v>59</v>
      </c>
    </row>
    <row r="22" spans="2:4" x14ac:dyDescent="0.3">
      <c r="B22" s="8" t="s">
        <v>60</v>
      </c>
      <c r="C22" s="2" t="s">
        <v>61</v>
      </c>
      <c r="D22" s="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4"/>
  <sheetViews>
    <sheetView topLeftCell="B2" zoomScale="158" zoomScaleNormal="158" workbookViewId="0">
      <selection activeCell="L7" sqref="L7"/>
    </sheetView>
  </sheetViews>
  <sheetFormatPr defaultRowHeight="14.4" x14ac:dyDescent="0.3"/>
  <cols>
    <col min="3" max="3" width="9.33203125" bestFit="1" customWidth="1"/>
    <col min="4" max="4" width="10.44140625" bestFit="1" customWidth="1"/>
    <col min="5" max="5" width="9.88671875" bestFit="1" customWidth="1"/>
    <col min="6" max="6" width="9.44140625" bestFit="1" customWidth="1"/>
    <col min="7" max="7" width="9.33203125" bestFit="1" customWidth="1"/>
    <col min="8" max="8" width="15.33203125" bestFit="1" customWidth="1"/>
    <col min="11" max="11" width="17.88671875" bestFit="1" customWidth="1"/>
  </cols>
  <sheetData>
    <row r="3" spans="2:12" x14ac:dyDescent="0.3">
      <c r="B3" s="3" t="s">
        <v>63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J3" s="6" t="s">
        <v>70</v>
      </c>
      <c r="K3" t="s">
        <v>71</v>
      </c>
      <c r="L3" s="12">
        <f>SUM(E4:E10)</f>
        <v>51</v>
      </c>
    </row>
    <row r="4" spans="2:12" x14ac:dyDescent="0.3">
      <c r="B4" s="1">
        <v>101</v>
      </c>
      <c r="C4" s="1" t="s">
        <v>72</v>
      </c>
      <c r="D4" s="1" t="s">
        <v>73</v>
      </c>
      <c r="E4" s="1">
        <v>10</v>
      </c>
      <c r="F4" s="1">
        <v>15</v>
      </c>
      <c r="G4" s="5">
        <v>45658</v>
      </c>
      <c r="H4" s="1" t="s">
        <v>74</v>
      </c>
      <c r="L4">
        <f>SUM(E4:E10)</f>
        <v>51</v>
      </c>
    </row>
    <row r="5" spans="2:12" x14ac:dyDescent="0.3">
      <c r="B5" s="1">
        <v>102</v>
      </c>
      <c r="C5" s="1" t="s">
        <v>75</v>
      </c>
      <c r="D5" s="1" t="s">
        <v>73</v>
      </c>
      <c r="E5" s="1">
        <v>5</v>
      </c>
      <c r="F5" s="1">
        <v>50</v>
      </c>
      <c r="G5" s="5">
        <v>45689</v>
      </c>
      <c r="H5" s="1" t="s">
        <v>76</v>
      </c>
    </row>
    <row r="6" spans="2:12" x14ac:dyDescent="0.3">
      <c r="B6" s="1">
        <v>103</v>
      </c>
      <c r="C6" s="1" t="s">
        <v>77</v>
      </c>
      <c r="D6" s="1" t="s">
        <v>78</v>
      </c>
      <c r="E6" s="1">
        <v>2</v>
      </c>
      <c r="F6" s="1">
        <v>500</v>
      </c>
      <c r="G6" s="5">
        <v>45717</v>
      </c>
      <c r="H6" s="1" t="s">
        <v>79</v>
      </c>
      <c r="J6" s="43" t="s">
        <v>70</v>
      </c>
      <c r="K6" s="32" t="s">
        <v>142</v>
      </c>
      <c r="L6">
        <f>SUM(F4:F10)</f>
        <v>1550</v>
      </c>
    </row>
    <row r="7" spans="2:12" x14ac:dyDescent="0.3">
      <c r="B7" s="1">
        <v>104</v>
      </c>
      <c r="C7" s="1" t="s">
        <v>80</v>
      </c>
      <c r="D7" s="1" t="s">
        <v>78</v>
      </c>
      <c r="E7" s="1">
        <v>3</v>
      </c>
      <c r="F7" s="1">
        <v>800</v>
      </c>
      <c r="G7" s="5">
        <v>45748</v>
      </c>
      <c r="H7" s="1" t="s">
        <v>81</v>
      </c>
    </row>
    <row r="8" spans="2:12" x14ac:dyDescent="0.3">
      <c r="B8" s="1">
        <v>105</v>
      </c>
      <c r="C8" s="1" t="s">
        <v>82</v>
      </c>
      <c r="D8" s="1" t="s">
        <v>83</v>
      </c>
      <c r="E8" s="1">
        <v>4</v>
      </c>
      <c r="F8" s="1">
        <v>120</v>
      </c>
      <c r="G8" s="5">
        <v>45778</v>
      </c>
      <c r="H8" s="1" t="s">
        <v>84</v>
      </c>
    </row>
    <row r="9" spans="2:12" x14ac:dyDescent="0.3">
      <c r="B9" s="1">
        <v>106</v>
      </c>
      <c r="C9" s="1" t="s">
        <v>72</v>
      </c>
      <c r="D9" s="1" t="s">
        <v>73</v>
      </c>
      <c r="E9" s="1">
        <v>20</v>
      </c>
      <c r="F9" s="1">
        <v>15</v>
      </c>
      <c r="G9" s="5">
        <v>45809</v>
      </c>
      <c r="H9" s="1" t="s">
        <v>85</v>
      </c>
    </row>
    <row r="10" spans="2:12" x14ac:dyDescent="0.3">
      <c r="B10" s="1">
        <v>107</v>
      </c>
      <c r="C10" s="1" t="s">
        <v>75</v>
      </c>
      <c r="D10" s="1" t="s">
        <v>73</v>
      </c>
      <c r="E10" s="1">
        <v>7</v>
      </c>
      <c r="F10" s="1">
        <v>50</v>
      </c>
      <c r="G10" s="5">
        <v>45839</v>
      </c>
      <c r="H10" s="1" t="s">
        <v>86</v>
      </c>
    </row>
    <row r="11" spans="2:12" x14ac:dyDescent="0.3">
      <c r="E11">
        <f>SUM(E4:E10)</f>
        <v>51</v>
      </c>
    </row>
    <row r="14" spans="2:12" x14ac:dyDescent="0.3">
      <c r="F14">
        <f>SUM(E4:E10)</f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C28B-69B7-41E1-B8D1-89EA57DAF70A}">
  <dimension ref="B2:L10"/>
  <sheetViews>
    <sheetView topLeftCell="A4" workbookViewId="0">
      <selection activeCell="K4" sqref="K4"/>
    </sheetView>
  </sheetViews>
  <sheetFormatPr defaultRowHeight="14.4" x14ac:dyDescent="0.3"/>
  <cols>
    <col min="3" max="3" width="9.33203125" bestFit="1" customWidth="1"/>
    <col min="4" max="4" width="10.44140625" bestFit="1" customWidth="1"/>
    <col min="5" max="5" width="10.6640625" customWidth="1"/>
    <col min="8" max="8" width="15.33203125" bestFit="1" customWidth="1"/>
    <col min="11" max="11" width="20.109375" bestFit="1" customWidth="1"/>
    <col min="12" max="12" width="7.88671875" customWidth="1"/>
  </cols>
  <sheetData>
    <row r="2" spans="2:12" x14ac:dyDescent="0.3"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J2" s="6" t="s">
        <v>70</v>
      </c>
      <c r="K2" t="s">
        <v>87</v>
      </c>
      <c r="L2" s="13">
        <f>AVERAGE(F3:F9)</f>
        <v>221.42857142857142</v>
      </c>
    </row>
    <row r="3" spans="2:12" x14ac:dyDescent="0.3">
      <c r="B3" s="1">
        <v>101</v>
      </c>
      <c r="C3" s="1" t="s">
        <v>72</v>
      </c>
      <c r="D3" s="1" t="s">
        <v>73</v>
      </c>
      <c r="E3" s="1">
        <v>10</v>
      </c>
      <c r="F3" s="1">
        <v>15</v>
      </c>
      <c r="G3" s="5">
        <v>45658</v>
      </c>
      <c r="H3" s="1" t="s">
        <v>74</v>
      </c>
      <c r="L3" s="44">
        <f>AVERAGE(F3:F9)</f>
        <v>221.42857142857142</v>
      </c>
    </row>
    <row r="4" spans="2:12" x14ac:dyDescent="0.3">
      <c r="B4" s="1">
        <v>102</v>
      </c>
      <c r="C4" s="1" t="s">
        <v>75</v>
      </c>
      <c r="D4" s="1" t="s">
        <v>73</v>
      </c>
      <c r="E4" s="1">
        <v>5</v>
      </c>
      <c r="F4" s="1">
        <v>50</v>
      </c>
      <c r="G4" s="5">
        <v>45689</v>
      </c>
      <c r="H4" s="1" t="s">
        <v>76</v>
      </c>
    </row>
    <row r="5" spans="2:12" x14ac:dyDescent="0.3">
      <c r="B5" s="1">
        <v>103</v>
      </c>
      <c r="C5" s="1" t="s">
        <v>77</v>
      </c>
      <c r="D5" s="1" t="s">
        <v>78</v>
      </c>
      <c r="E5" s="1">
        <v>2</v>
      </c>
      <c r="F5" s="1">
        <v>500</v>
      </c>
      <c r="G5" s="5">
        <v>45717</v>
      </c>
      <c r="H5" s="1" t="s">
        <v>79</v>
      </c>
    </row>
    <row r="6" spans="2:12" x14ac:dyDescent="0.3">
      <c r="B6" s="1">
        <v>104</v>
      </c>
      <c r="C6" s="1" t="s">
        <v>80</v>
      </c>
      <c r="D6" s="1" t="s">
        <v>78</v>
      </c>
      <c r="E6" s="1">
        <v>3</v>
      </c>
      <c r="F6" s="1">
        <v>800</v>
      </c>
      <c r="G6" s="5">
        <v>45748</v>
      </c>
      <c r="H6" s="1" t="s">
        <v>81</v>
      </c>
    </row>
    <row r="7" spans="2:12" x14ac:dyDescent="0.3">
      <c r="B7" s="1">
        <v>105</v>
      </c>
      <c r="C7" s="1" t="s">
        <v>82</v>
      </c>
      <c r="D7" s="1" t="s">
        <v>83</v>
      </c>
      <c r="E7" s="1">
        <v>4</v>
      </c>
      <c r="F7" s="1">
        <v>120</v>
      </c>
      <c r="G7" s="5">
        <v>45778</v>
      </c>
      <c r="H7" s="1" t="s">
        <v>84</v>
      </c>
    </row>
    <row r="8" spans="2:12" x14ac:dyDescent="0.3">
      <c r="B8" s="1">
        <v>106</v>
      </c>
      <c r="C8" s="1" t="s">
        <v>72</v>
      </c>
      <c r="D8" s="1" t="s">
        <v>73</v>
      </c>
      <c r="E8" s="1">
        <v>20</v>
      </c>
      <c r="F8" s="1">
        <v>15</v>
      </c>
      <c r="G8" s="5">
        <v>45809</v>
      </c>
      <c r="H8" s="1" t="s">
        <v>85</v>
      </c>
    </row>
    <row r="9" spans="2:12" x14ac:dyDescent="0.3">
      <c r="B9" s="1">
        <v>107</v>
      </c>
      <c r="C9" s="1" t="s">
        <v>75</v>
      </c>
      <c r="D9" s="1" t="s">
        <v>73</v>
      </c>
      <c r="E9" s="1">
        <v>7</v>
      </c>
      <c r="F9" s="1">
        <v>50</v>
      </c>
      <c r="G9" s="5">
        <v>45839</v>
      </c>
      <c r="H9" s="1" t="s">
        <v>86</v>
      </c>
    </row>
    <row r="10" spans="2:12" x14ac:dyDescent="0.3">
      <c r="E10" s="25">
        <f>AVERAGE(E3:E9)</f>
        <v>7.2857142857142856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1C31-3648-4B1B-90E2-72C6770E9DEA}">
  <dimension ref="B2:M27"/>
  <sheetViews>
    <sheetView topLeftCell="B1" workbookViewId="0">
      <selection activeCell="L8" sqref="L8"/>
    </sheetView>
  </sheetViews>
  <sheetFormatPr defaultRowHeight="14.4" x14ac:dyDescent="0.3"/>
  <cols>
    <col min="3" max="3" width="9.33203125" bestFit="1" customWidth="1"/>
    <col min="4" max="4" width="10.44140625" bestFit="1" customWidth="1"/>
    <col min="8" max="8" width="15.33203125" bestFit="1" customWidth="1"/>
    <col min="11" max="11" width="28.88671875" bestFit="1" customWidth="1"/>
    <col min="12" max="12" width="24" bestFit="1" customWidth="1"/>
    <col min="13" max="13" width="21.44140625" bestFit="1" customWidth="1"/>
  </cols>
  <sheetData>
    <row r="2" spans="2:13" x14ac:dyDescent="0.3">
      <c r="B2" s="14" t="s">
        <v>63</v>
      </c>
      <c r="C2" s="3" t="s">
        <v>64</v>
      </c>
      <c r="D2" s="3" t="s">
        <v>65</v>
      </c>
      <c r="E2" s="14" t="s">
        <v>66</v>
      </c>
      <c r="F2" s="14" t="s">
        <v>67</v>
      </c>
      <c r="G2" s="3" t="s">
        <v>68</v>
      </c>
      <c r="H2" s="3" t="s">
        <v>69</v>
      </c>
    </row>
    <row r="3" spans="2:13" x14ac:dyDescent="0.3">
      <c r="B3" s="1">
        <v>101</v>
      </c>
      <c r="C3" s="1" t="s">
        <v>72</v>
      </c>
      <c r="D3" s="1" t="s">
        <v>73</v>
      </c>
      <c r="E3" s="1">
        <v>10</v>
      </c>
      <c r="F3" s="1">
        <v>15</v>
      </c>
      <c r="G3" s="5">
        <v>45658</v>
      </c>
      <c r="H3" s="1" t="s">
        <v>74</v>
      </c>
      <c r="J3" s="6" t="s">
        <v>70</v>
      </c>
      <c r="K3" t="s">
        <v>88</v>
      </c>
      <c r="L3">
        <f>COUNT(B3:B9)</f>
        <v>7</v>
      </c>
      <c r="M3" t="s">
        <v>89</v>
      </c>
    </row>
    <row r="4" spans="2:13" x14ac:dyDescent="0.3">
      <c r="B4" s="1">
        <v>102</v>
      </c>
      <c r="C4" s="1" t="s">
        <v>75</v>
      </c>
      <c r="D4" s="1" t="s">
        <v>73</v>
      </c>
      <c r="E4" s="1">
        <v>5</v>
      </c>
      <c r="F4" s="1">
        <v>50</v>
      </c>
      <c r="G4" s="5">
        <v>45689</v>
      </c>
      <c r="H4" s="1" t="s">
        <v>76</v>
      </c>
      <c r="J4" s="6" t="s">
        <v>70</v>
      </c>
      <c r="K4" t="s">
        <v>90</v>
      </c>
      <c r="L4">
        <f>COUNT(D3:D9,B3:B9)</f>
        <v>7</v>
      </c>
      <c r="M4" t="s">
        <v>91</v>
      </c>
    </row>
    <row r="5" spans="2:13" x14ac:dyDescent="0.3">
      <c r="B5" s="1">
        <v>103</v>
      </c>
      <c r="C5" s="1" t="s">
        <v>77</v>
      </c>
      <c r="D5" s="1" t="s">
        <v>78</v>
      </c>
      <c r="E5" s="1">
        <v>2</v>
      </c>
      <c r="F5" s="1">
        <v>500</v>
      </c>
      <c r="G5" s="5">
        <v>45717</v>
      </c>
      <c r="H5" s="1" t="s">
        <v>79</v>
      </c>
      <c r="K5">
        <f>COUNTA(D3:D9)</f>
        <v>7</v>
      </c>
      <c r="L5">
        <f>COUNTA(B3:B9)</f>
        <v>7</v>
      </c>
    </row>
    <row r="6" spans="2:13" x14ac:dyDescent="0.3">
      <c r="B6" s="1">
        <v>104</v>
      </c>
      <c r="C6" s="1" t="s">
        <v>80</v>
      </c>
      <c r="D6" s="1" t="s">
        <v>78</v>
      </c>
      <c r="E6" s="1">
        <v>3</v>
      </c>
      <c r="F6" s="1">
        <v>800</v>
      </c>
      <c r="G6" s="5">
        <v>45748</v>
      </c>
      <c r="H6" s="1" t="s">
        <v>81</v>
      </c>
    </row>
    <row r="7" spans="2:13" x14ac:dyDescent="0.3">
      <c r="B7" s="1">
        <v>105</v>
      </c>
      <c r="C7" s="1" t="s">
        <v>82</v>
      </c>
      <c r="D7" s="1" t="s">
        <v>83</v>
      </c>
      <c r="E7" s="1">
        <v>4</v>
      </c>
      <c r="F7" s="1">
        <v>120</v>
      </c>
      <c r="G7" s="5">
        <v>45778</v>
      </c>
      <c r="H7" s="1" t="s">
        <v>84</v>
      </c>
      <c r="J7" s="6" t="s">
        <v>70</v>
      </c>
      <c r="K7" t="s">
        <v>92</v>
      </c>
      <c r="L7">
        <f>COUNTA(_xlfn.UNIQUE(D3:D9))</f>
        <v>3</v>
      </c>
      <c r="M7" t="s">
        <v>93</v>
      </c>
    </row>
    <row r="8" spans="2:13" x14ac:dyDescent="0.3">
      <c r="B8" s="1">
        <v>106</v>
      </c>
      <c r="C8" s="1" t="s">
        <v>72</v>
      </c>
      <c r="D8" s="1" t="s">
        <v>73</v>
      </c>
      <c r="E8" s="1">
        <v>20</v>
      </c>
      <c r="F8" s="1">
        <v>15</v>
      </c>
      <c r="G8" s="5">
        <v>45809</v>
      </c>
      <c r="H8" s="1" t="s">
        <v>85</v>
      </c>
    </row>
    <row r="9" spans="2:13" x14ac:dyDescent="0.3">
      <c r="B9" s="1">
        <v>107</v>
      </c>
      <c r="C9" s="1" t="s">
        <v>75</v>
      </c>
      <c r="D9" s="1" t="s">
        <v>73</v>
      </c>
      <c r="E9" s="1">
        <v>7</v>
      </c>
      <c r="F9" s="1">
        <v>50</v>
      </c>
      <c r="G9" s="5">
        <v>45839</v>
      </c>
      <c r="H9" s="1" t="s">
        <v>86</v>
      </c>
    </row>
    <row r="13" spans="2:13" x14ac:dyDescent="0.3">
      <c r="C13">
        <v>1</v>
      </c>
      <c r="D13" s="6" t="s">
        <v>73</v>
      </c>
      <c r="H13" s="6">
        <v>45000</v>
      </c>
      <c r="J13">
        <f>COUNT(H13:H20)</f>
        <v>5</v>
      </c>
    </row>
    <row r="14" spans="2:13" x14ac:dyDescent="0.3">
      <c r="C14">
        <v>2</v>
      </c>
      <c r="D14" s="6" t="s">
        <v>73</v>
      </c>
      <c r="H14" s="6">
        <v>75000</v>
      </c>
      <c r="J14">
        <f>COUNTA(H13:H20)</f>
        <v>8</v>
      </c>
    </row>
    <row r="15" spans="2:13" x14ac:dyDescent="0.3">
      <c r="C15">
        <v>3</v>
      </c>
      <c r="D15" s="6" t="s">
        <v>78</v>
      </c>
      <c r="F15">
        <f>COUNT(D13:D26)</f>
        <v>7</v>
      </c>
      <c r="H15" s="27" t="s">
        <v>94</v>
      </c>
      <c r="J15" s="26">
        <f>J14-J13</f>
        <v>3</v>
      </c>
    </row>
    <row r="16" spans="2:13" x14ac:dyDescent="0.3">
      <c r="C16">
        <v>4</v>
      </c>
      <c r="D16" s="6" t="s">
        <v>78</v>
      </c>
      <c r="F16">
        <f>COUNTA(D13:D26)</f>
        <v>14</v>
      </c>
      <c r="H16" s="6">
        <v>65000</v>
      </c>
    </row>
    <row r="17" spans="3:8" x14ac:dyDescent="0.3">
      <c r="C17">
        <v>5</v>
      </c>
      <c r="D17" s="6" t="s">
        <v>83</v>
      </c>
      <c r="H17" s="6">
        <v>66000</v>
      </c>
    </row>
    <row r="18" spans="3:8" x14ac:dyDescent="0.3">
      <c r="C18">
        <v>6</v>
      </c>
      <c r="D18" s="6" t="s">
        <v>73</v>
      </c>
      <c r="H18" s="27" t="s">
        <v>94</v>
      </c>
    </row>
    <row r="19" spans="3:8" x14ac:dyDescent="0.3">
      <c r="C19">
        <v>7</v>
      </c>
      <c r="D19" s="6" t="s">
        <v>73</v>
      </c>
      <c r="H19" s="27" t="s">
        <v>94</v>
      </c>
    </row>
    <row r="20" spans="3:8" x14ac:dyDescent="0.3">
      <c r="C20">
        <v>8</v>
      </c>
      <c r="D20" s="6">
        <v>15</v>
      </c>
      <c r="H20" s="6">
        <v>96000</v>
      </c>
    </row>
    <row r="21" spans="3:8" x14ac:dyDescent="0.3">
      <c r="C21">
        <v>9</v>
      </c>
      <c r="D21" s="6">
        <v>50</v>
      </c>
    </row>
    <row r="22" spans="3:8" x14ac:dyDescent="0.3">
      <c r="C22">
        <v>10</v>
      </c>
      <c r="D22" s="6">
        <v>500</v>
      </c>
    </row>
    <row r="23" spans="3:8" x14ac:dyDescent="0.3">
      <c r="C23">
        <v>11</v>
      </c>
      <c r="D23" s="6">
        <v>800</v>
      </c>
    </row>
    <row r="24" spans="3:8" x14ac:dyDescent="0.3">
      <c r="C24">
        <v>12</v>
      </c>
      <c r="D24" s="6">
        <v>120</v>
      </c>
    </row>
    <row r="25" spans="3:8" x14ac:dyDescent="0.3">
      <c r="C25">
        <v>13</v>
      </c>
      <c r="D25" s="6">
        <v>15</v>
      </c>
    </row>
    <row r="26" spans="3:8" x14ac:dyDescent="0.3">
      <c r="C26">
        <v>14</v>
      </c>
      <c r="D26" s="6">
        <v>50</v>
      </c>
    </row>
    <row r="27" spans="3:8" x14ac:dyDescent="0.3">
      <c r="D2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1AE5-7348-405E-A026-29BDCC1C9008}">
  <dimension ref="B2:M20"/>
  <sheetViews>
    <sheetView workbookViewId="0">
      <selection activeCell="L3" sqref="L3"/>
    </sheetView>
  </sheetViews>
  <sheetFormatPr defaultRowHeight="14.4" x14ac:dyDescent="0.3"/>
  <cols>
    <col min="4" max="4" width="10.44140625" bestFit="1" customWidth="1"/>
    <col min="7" max="7" width="10.33203125" bestFit="1" customWidth="1"/>
    <col min="8" max="8" width="15.33203125" bestFit="1" customWidth="1"/>
    <col min="10" max="10" width="9.33203125" bestFit="1" customWidth="1"/>
    <col min="11" max="11" width="20.5546875" bestFit="1" customWidth="1"/>
  </cols>
  <sheetData>
    <row r="2" spans="2:13" x14ac:dyDescent="0.3"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J2" s="6" t="s">
        <v>70</v>
      </c>
      <c r="K2" t="s">
        <v>95</v>
      </c>
      <c r="L2">
        <f>MIN(F3:F9)</f>
        <v>15</v>
      </c>
      <c r="M2">
        <f>MIN(F3:F9)</f>
        <v>15</v>
      </c>
    </row>
    <row r="3" spans="2:13" x14ac:dyDescent="0.3">
      <c r="B3" s="1">
        <v>101</v>
      </c>
      <c r="C3" s="1" t="s">
        <v>72</v>
      </c>
      <c r="D3" s="1" t="s">
        <v>73</v>
      </c>
      <c r="E3" s="1">
        <v>10</v>
      </c>
      <c r="F3" s="1">
        <v>15</v>
      </c>
      <c r="G3" s="5">
        <v>45658</v>
      </c>
      <c r="H3" s="1" t="s">
        <v>74</v>
      </c>
      <c r="J3" s="6" t="s">
        <v>70</v>
      </c>
      <c r="K3" s="7" t="s">
        <v>96</v>
      </c>
      <c r="L3">
        <f>MAX(F3:F9)</f>
        <v>800</v>
      </c>
      <c r="M3">
        <f>MAX(F3:F9)</f>
        <v>800</v>
      </c>
    </row>
    <row r="4" spans="2:13" x14ac:dyDescent="0.3">
      <c r="B4" s="1">
        <v>102</v>
      </c>
      <c r="C4" s="1" t="s">
        <v>75</v>
      </c>
      <c r="D4" s="1" t="s">
        <v>73</v>
      </c>
      <c r="E4" s="1">
        <v>5</v>
      </c>
      <c r="F4" s="1">
        <v>50</v>
      </c>
      <c r="G4" s="5">
        <v>45689</v>
      </c>
      <c r="H4" s="1" t="s">
        <v>76</v>
      </c>
      <c r="K4" s="7"/>
    </row>
    <row r="5" spans="2:13" x14ac:dyDescent="0.3">
      <c r="B5" s="1">
        <v>103</v>
      </c>
      <c r="C5" s="1" t="s">
        <v>77</v>
      </c>
      <c r="D5" s="1" t="s">
        <v>78</v>
      </c>
      <c r="E5" s="1">
        <v>2</v>
      </c>
      <c r="F5" s="1">
        <v>500</v>
      </c>
      <c r="G5" s="5">
        <v>45717</v>
      </c>
      <c r="H5" s="1" t="s">
        <v>79</v>
      </c>
    </row>
    <row r="6" spans="2:13" x14ac:dyDescent="0.3">
      <c r="B6" s="1">
        <v>104</v>
      </c>
      <c r="C6" s="1" t="s">
        <v>80</v>
      </c>
      <c r="D6" s="1" t="s">
        <v>78</v>
      </c>
      <c r="E6" s="1">
        <v>3</v>
      </c>
      <c r="F6" s="1">
        <v>800</v>
      </c>
      <c r="G6" s="5">
        <v>45748</v>
      </c>
      <c r="H6" s="1" t="s">
        <v>81</v>
      </c>
    </row>
    <row r="7" spans="2:13" x14ac:dyDescent="0.3">
      <c r="B7" s="1">
        <v>105</v>
      </c>
      <c r="C7" s="1" t="s">
        <v>82</v>
      </c>
      <c r="D7" s="1" t="s">
        <v>83</v>
      </c>
      <c r="E7" s="1">
        <v>4</v>
      </c>
      <c r="F7" s="1">
        <v>120</v>
      </c>
      <c r="G7" s="5">
        <v>45778</v>
      </c>
      <c r="H7" s="1" t="s">
        <v>84</v>
      </c>
    </row>
    <row r="8" spans="2:13" x14ac:dyDescent="0.3">
      <c r="B8" s="1">
        <v>106</v>
      </c>
      <c r="C8" s="1" t="s">
        <v>72</v>
      </c>
      <c r="D8" s="1" t="s">
        <v>73</v>
      </c>
      <c r="E8" s="1">
        <v>20</v>
      </c>
      <c r="F8" s="1">
        <v>15</v>
      </c>
      <c r="G8" s="5">
        <v>45809</v>
      </c>
      <c r="H8" s="1" t="s">
        <v>85</v>
      </c>
    </row>
    <row r="9" spans="2:13" x14ac:dyDescent="0.3">
      <c r="B9" s="1">
        <v>107</v>
      </c>
      <c r="C9" s="1" t="s">
        <v>75</v>
      </c>
      <c r="D9" s="1" t="s">
        <v>73</v>
      </c>
      <c r="E9" s="1">
        <v>7</v>
      </c>
      <c r="F9" s="1">
        <v>50</v>
      </c>
      <c r="G9" s="5">
        <v>45839</v>
      </c>
      <c r="H9" s="1" t="s">
        <v>86</v>
      </c>
    </row>
    <row r="12" spans="2:13" x14ac:dyDescent="0.3">
      <c r="H12">
        <v>10</v>
      </c>
      <c r="J12" t="s">
        <v>97</v>
      </c>
      <c r="K12">
        <f>MIN(H12:H20)</f>
        <v>10</v>
      </c>
    </row>
    <row r="13" spans="2:13" x14ac:dyDescent="0.3">
      <c r="H13">
        <v>20</v>
      </c>
      <c r="J13" t="s">
        <v>98</v>
      </c>
      <c r="K13">
        <f>MAX(H12:H20)</f>
        <v>100</v>
      </c>
    </row>
    <row r="14" spans="2:13" x14ac:dyDescent="0.3">
      <c r="H14">
        <v>30</v>
      </c>
    </row>
    <row r="15" spans="2:13" x14ac:dyDescent="0.3">
      <c r="H15">
        <v>40</v>
      </c>
    </row>
    <row r="16" spans="2:13" x14ac:dyDescent="0.3">
      <c r="H16">
        <v>100</v>
      </c>
    </row>
    <row r="17" spans="8:8" x14ac:dyDescent="0.3">
      <c r="H17">
        <v>80</v>
      </c>
    </row>
    <row r="18" spans="8:8" x14ac:dyDescent="0.3">
      <c r="H18">
        <v>90</v>
      </c>
    </row>
    <row r="19" spans="8:8" x14ac:dyDescent="0.3">
      <c r="H19">
        <v>70</v>
      </c>
    </row>
    <row r="20" spans="8:8" x14ac:dyDescent="0.3">
      <c r="H20">
        <v>60</v>
      </c>
    </row>
  </sheetData>
  <conditionalFormatting sqref="F3:F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H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0270-793A-4D4A-9240-C5C0FB2EA044}">
  <dimension ref="B2:S9"/>
  <sheetViews>
    <sheetView workbookViewId="0">
      <selection activeCell="J12" sqref="J12"/>
    </sheetView>
  </sheetViews>
  <sheetFormatPr defaultRowHeight="14.4" x14ac:dyDescent="0.3"/>
  <cols>
    <col min="3" max="3" width="9.33203125" bestFit="1" customWidth="1"/>
    <col min="4" max="4" width="10.44140625" bestFit="1" customWidth="1"/>
    <col min="8" max="8" width="15.33203125" bestFit="1" customWidth="1"/>
    <col min="9" max="9" width="13.33203125" bestFit="1" customWidth="1"/>
    <col min="11" max="11" width="15.77734375" bestFit="1" customWidth="1"/>
    <col min="13" max="13" width="35.6640625" bestFit="1" customWidth="1"/>
    <col min="17" max="17" width="12.44140625" customWidth="1"/>
    <col min="18" max="18" width="23.5546875" bestFit="1" customWidth="1"/>
    <col min="19" max="19" width="44.33203125" bestFit="1" customWidth="1"/>
  </cols>
  <sheetData>
    <row r="2" spans="2:19" x14ac:dyDescent="0.3"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99</v>
      </c>
      <c r="J2" s="6" t="s">
        <v>70</v>
      </c>
      <c r="K2" t="s">
        <v>100</v>
      </c>
      <c r="L2" s="6" t="s">
        <v>101</v>
      </c>
      <c r="M2" t="s">
        <v>102</v>
      </c>
      <c r="Q2" s="11" t="s">
        <v>0</v>
      </c>
      <c r="R2" s="3" t="s">
        <v>1</v>
      </c>
      <c r="S2" s="3" t="s">
        <v>2</v>
      </c>
    </row>
    <row r="3" spans="2:19" x14ac:dyDescent="0.3">
      <c r="B3" s="1">
        <v>101</v>
      </c>
      <c r="C3" s="1" t="s">
        <v>72</v>
      </c>
      <c r="D3" s="1" t="s">
        <v>73</v>
      </c>
      <c r="E3" s="1">
        <v>10</v>
      </c>
      <c r="F3" s="1">
        <v>15</v>
      </c>
      <c r="G3" s="5">
        <v>45658</v>
      </c>
      <c r="H3" s="1" t="s">
        <v>74</v>
      </c>
      <c r="I3" s="8" t="str">
        <f>IF(E3&gt;4,"bulk","not bulk")</f>
        <v>bulk</v>
      </c>
      <c r="Q3" s="8" t="s">
        <v>21</v>
      </c>
      <c r="R3" s="2" t="s">
        <v>22</v>
      </c>
      <c r="S3" s="1" t="s">
        <v>23</v>
      </c>
    </row>
    <row r="4" spans="2:19" x14ac:dyDescent="0.3">
      <c r="B4" s="1">
        <v>102</v>
      </c>
      <c r="C4" s="1" t="s">
        <v>75</v>
      </c>
      <c r="D4" s="1" t="s">
        <v>73</v>
      </c>
      <c r="E4" s="1">
        <v>5</v>
      </c>
      <c r="F4" s="1">
        <v>50</v>
      </c>
      <c r="G4" s="5">
        <v>45689</v>
      </c>
      <c r="H4" s="1" t="s">
        <v>76</v>
      </c>
      <c r="I4" s="8" t="str">
        <f t="shared" ref="I4:I9" si="0">IF(E4&gt;4,"bulk","not bulk")</f>
        <v>bulk</v>
      </c>
      <c r="M4" t="str">
        <f>I7</f>
        <v>not bulk</v>
      </c>
    </row>
    <row r="5" spans="2:19" x14ac:dyDescent="0.3">
      <c r="B5" s="1">
        <v>103</v>
      </c>
      <c r="C5" s="1" t="s">
        <v>77</v>
      </c>
      <c r="D5" s="1" t="s">
        <v>78</v>
      </c>
      <c r="E5" s="1">
        <v>2</v>
      </c>
      <c r="F5" s="1">
        <v>500</v>
      </c>
      <c r="G5" s="5">
        <v>45717</v>
      </c>
      <c r="H5" s="1" t="s">
        <v>79</v>
      </c>
      <c r="I5" s="8" t="str">
        <f t="shared" si="0"/>
        <v>not bulk</v>
      </c>
    </row>
    <row r="6" spans="2:19" x14ac:dyDescent="0.3">
      <c r="B6" s="1">
        <v>104</v>
      </c>
      <c r="C6" s="1" t="s">
        <v>80</v>
      </c>
      <c r="D6" s="1" t="s">
        <v>78</v>
      </c>
      <c r="E6" s="1">
        <v>3</v>
      </c>
      <c r="F6" s="1">
        <v>800</v>
      </c>
      <c r="G6" s="5">
        <v>45748</v>
      </c>
      <c r="H6" s="1" t="s">
        <v>81</v>
      </c>
      <c r="I6" s="8" t="str">
        <f t="shared" si="0"/>
        <v>not bulk</v>
      </c>
      <c r="Q6">
        <v>120</v>
      </c>
      <c r="R6" s="2" t="str">
        <f>IF(Q6&gt;100, "High", "Low")</f>
        <v>High</v>
      </c>
      <c r="S6" t="s">
        <v>103</v>
      </c>
    </row>
    <row r="7" spans="2:19" x14ac:dyDescent="0.3">
      <c r="B7" s="1">
        <v>105</v>
      </c>
      <c r="C7" s="1" t="s">
        <v>82</v>
      </c>
      <c r="D7" s="1" t="s">
        <v>83</v>
      </c>
      <c r="E7" s="1">
        <v>4</v>
      </c>
      <c r="F7" s="1">
        <v>120</v>
      </c>
      <c r="G7" s="5">
        <v>45778</v>
      </c>
      <c r="H7" s="1" t="s">
        <v>84</v>
      </c>
      <c r="I7" s="8" t="str">
        <f t="shared" si="0"/>
        <v>not bulk</v>
      </c>
      <c r="Q7">
        <v>100</v>
      </c>
      <c r="R7" s="2" t="str">
        <f>IF(Q7&gt;=100, "High", "Low")</f>
        <v>High</v>
      </c>
      <c r="S7" t="s">
        <v>104</v>
      </c>
    </row>
    <row r="8" spans="2:19" x14ac:dyDescent="0.3">
      <c r="B8" s="1">
        <v>106</v>
      </c>
      <c r="C8" s="1" t="s">
        <v>72</v>
      </c>
      <c r="D8" s="1" t="s">
        <v>73</v>
      </c>
      <c r="E8" s="1">
        <v>20</v>
      </c>
      <c r="F8" s="1">
        <v>15</v>
      </c>
      <c r="G8" s="5">
        <v>45809</v>
      </c>
      <c r="H8" s="1" t="s">
        <v>85</v>
      </c>
      <c r="I8" s="8" t="str">
        <f t="shared" si="0"/>
        <v>bulk</v>
      </c>
      <c r="S8" t="s">
        <v>105</v>
      </c>
    </row>
    <row r="9" spans="2:19" x14ac:dyDescent="0.3">
      <c r="B9" s="1">
        <v>107</v>
      </c>
      <c r="C9" s="1" t="s">
        <v>75</v>
      </c>
      <c r="D9" s="1" t="s">
        <v>73</v>
      </c>
      <c r="E9" s="1">
        <v>7</v>
      </c>
      <c r="F9" s="1">
        <v>50</v>
      </c>
      <c r="G9" s="5">
        <v>45839</v>
      </c>
      <c r="H9" s="1" t="s">
        <v>86</v>
      </c>
      <c r="I9" s="8" t="str">
        <f t="shared" si="0"/>
        <v>bulk</v>
      </c>
      <c r="S9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F6CD-B0A8-4B2E-8CFB-7CF5B7B003EC}">
  <dimension ref="B2:L14"/>
  <sheetViews>
    <sheetView workbookViewId="0">
      <selection activeCell="M7" sqref="M7"/>
    </sheetView>
  </sheetViews>
  <sheetFormatPr defaultRowHeight="14.4" x14ac:dyDescent="0.3"/>
  <cols>
    <col min="3" max="3" width="9.33203125" bestFit="1" customWidth="1"/>
    <col min="4" max="4" width="10.44140625" bestFit="1" customWidth="1"/>
    <col min="8" max="8" width="15.33203125" bestFit="1" customWidth="1"/>
    <col min="11" max="11" width="36.5546875" bestFit="1" customWidth="1"/>
  </cols>
  <sheetData>
    <row r="2" spans="2:12" x14ac:dyDescent="0.3">
      <c r="B2" s="3" t="s">
        <v>63</v>
      </c>
      <c r="C2" s="3" t="s">
        <v>64</v>
      </c>
      <c r="D2" s="14" t="s">
        <v>65</v>
      </c>
      <c r="E2" s="14" t="s">
        <v>66</v>
      </c>
      <c r="F2" s="3" t="s">
        <v>67</v>
      </c>
      <c r="G2" s="3" t="s">
        <v>68</v>
      </c>
      <c r="H2" s="3" t="s">
        <v>69</v>
      </c>
      <c r="J2" s="6" t="s">
        <v>70</v>
      </c>
      <c r="K2" t="s">
        <v>107</v>
      </c>
      <c r="L2">
        <f>SUMIF(D3:D9,"stationery",E3:E9)</f>
        <v>42</v>
      </c>
    </row>
    <row r="3" spans="2:12" x14ac:dyDescent="0.3">
      <c r="B3" s="28">
        <v>101</v>
      </c>
      <c r="C3" s="29" t="s">
        <v>72</v>
      </c>
      <c r="D3" s="30" t="s">
        <v>73</v>
      </c>
      <c r="E3" s="30">
        <v>10</v>
      </c>
      <c r="F3" s="28">
        <v>15</v>
      </c>
      <c r="G3" s="31">
        <v>45658</v>
      </c>
      <c r="H3" s="28" t="s">
        <v>74</v>
      </c>
      <c r="J3" s="6" t="s">
        <v>70</v>
      </c>
      <c r="K3" t="s">
        <v>108</v>
      </c>
      <c r="L3">
        <f>COUNTIF(C3:C9,"pen")</f>
        <v>2</v>
      </c>
    </row>
    <row r="4" spans="2:12" x14ac:dyDescent="0.3">
      <c r="B4" s="28">
        <v>102</v>
      </c>
      <c r="C4" s="28" t="s">
        <v>75</v>
      </c>
      <c r="D4" s="30" t="s">
        <v>73</v>
      </c>
      <c r="E4" s="30">
        <v>5</v>
      </c>
      <c r="F4" s="28">
        <v>50</v>
      </c>
      <c r="G4" s="31">
        <v>45689</v>
      </c>
      <c r="H4" s="28" t="s">
        <v>76</v>
      </c>
    </row>
    <row r="5" spans="2:12" x14ac:dyDescent="0.3">
      <c r="B5" s="28">
        <v>103</v>
      </c>
      <c r="C5" s="28" t="s">
        <v>77</v>
      </c>
      <c r="D5" s="28" t="s">
        <v>78</v>
      </c>
      <c r="E5" s="28">
        <v>2</v>
      </c>
      <c r="F5" s="28">
        <v>500</v>
      </c>
      <c r="G5" s="31">
        <v>45717</v>
      </c>
      <c r="H5" s="28" t="s">
        <v>79</v>
      </c>
    </row>
    <row r="6" spans="2:12" ht="28.8" x14ac:dyDescent="0.3">
      <c r="B6" s="28">
        <v>104</v>
      </c>
      <c r="C6" s="28" t="s">
        <v>80</v>
      </c>
      <c r="D6" s="28" t="s">
        <v>78</v>
      </c>
      <c r="E6" s="28">
        <v>3</v>
      </c>
      <c r="F6" s="28">
        <v>800</v>
      </c>
      <c r="G6" s="31">
        <v>45748</v>
      </c>
      <c r="H6" s="28" t="s">
        <v>81</v>
      </c>
      <c r="K6" s="16" t="s">
        <v>109</v>
      </c>
      <c r="L6">
        <f>SUMIFS(F3:F9,C3:C9,"notebook",D3:D9,"stationery")</f>
        <v>100</v>
      </c>
    </row>
    <row r="7" spans="2:12" x14ac:dyDescent="0.3">
      <c r="B7" s="28">
        <v>105</v>
      </c>
      <c r="C7" s="28" t="s">
        <v>82</v>
      </c>
      <c r="D7" s="28" t="s">
        <v>83</v>
      </c>
      <c r="E7" s="28">
        <v>4</v>
      </c>
      <c r="F7" s="28">
        <v>120</v>
      </c>
      <c r="G7" s="31">
        <v>45778</v>
      </c>
      <c r="H7" s="28" t="s">
        <v>84</v>
      </c>
    </row>
    <row r="8" spans="2:12" x14ac:dyDescent="0.3">
      <c r="B8" s="28">
        <v>106</v>
      </c>
      <c r="C8" s="29" t="s">
        <v>72</v>
      </c>
      <c r="D8" s="30" t="s">
        <v>73</v>
      </c>
      <c r="E8" s="30">
        <v>20</v>
      </c>
      <c r="F8" s="28">
        <v>15</v>
      </c>
      <c r="G8" s="31">
        <v>45809</v>
      </c>
      <c r="H8" s="28" t="s">
        <v>85</v>
      </c>
    </row>
    <row r="9" spans="2:12" x14ac:dyDescent="0.3">
      <c r="B9" s="28">
        <v>107</v>
      </c>
      <c r="C9" s="28" t="s">
        <v>75</v>
      </c>
      <c r="D9" s="30" t="s">
        <v>73</v>
      </c>
      <c r="E9" s="30">
        <v>7</v>
      </c>
      <c r="F9" s="28">
        <v>50</v>
      </c>
      <c r="G9" s="31">
        <v>45839</v>
      </c>
      <c r="H9" s="28" t="s">
        <v>86</v>
      </c>
    </row>
    <row r="10" spans="2:12" x14ac:dyDescent="0.3">
      <c r="B10" s="32"/>
      <c r="C10" s="32"/>
      <c r="D10" s="32"/>
      <c r="E10" s="32"/>
      <c r="F10" s="32"/>
      <c r="G10" s="32"/>
      <c r="H10" s="32"/>
    </row>
    <row r="11" spans="2:12" x14ac:dyDescent="0.3">
      <c r="K11" t="s">
        <v>110</v>
      </c>
    </row>
    <row r="12" spans="2:12" x14ac:dyDescent="0.3">
      <c r="K12" t="s">
        <v>111</v>
      </c>
    </row>
    <row r="13" spans="2:12" x14ac:dyDescent="0.3">
      <c r="H13">
        <f>SUMIF(D3:D9,"Stationery",E3:E9)</f>
        <v>42</v>
      </c>
      <c r="K13" t="s">
        <v>112</v>
      </c>
    </row>
    <row r="14" spans="2:12" x14ac:dyDescent="0.3">
      <c r="H14">
        <f>COUNTIF(C3:C9,"Pen")</f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2251-7F56-45F2-B61B-F0E2F2CFBFEE}">
  <dimension ref="B2:J9"/>
  <sheetViews>
    <sheetView workbookViewId="0">
      <selection activeCell="J7" sqref="J7"/>
    </sheetView>
  </sheetViews>
  <sheetFormatPr defaultRowHeight="14.4" x14ac:dyDescent="0.3"/>
  <cols>
    <col min="1" max="1" width="7.109375" customWidth="1"/>
    <col min="3" max="3" width="9.33203125" bestFit="1" customWidth="1"/>
    <col min="4" max="4" width="10.44140625" bestFit="1" customWidth="1"/>
    <col min="7" max="7" width="10.33203125" bestFit="1" customWidth="1"/>
    <col min="8" max="8" width="15.33203125" bestFit="1" customWidth="1"/>
    <col min="10" max="10" width="12" customWidth="1"/>
  </cols>
  <sheetData>
    <row r="2" spans="2:10" x14ac:dyDescent="0.3"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J2" s="6"/>
    </row>
    <row r="3" spans="2:10" x14ac:dyDescent="0.3">
      <c r="B3" s="1">
        <v>101</v>
      </c>
      <c r="C3" s="1" t="s">
        <v>72</v>
      </c>
      <c r="D3" s="1" t="s">
        <v>73</v>
      </c>
      <c r="E3" s="1">
        <v>10</v>
      </c>
      <c r="F3" s="1">
        <v>15</v>
      </c>
      <c r="G3" s="5">
        <v>45658</v>
      </c>
      <c r="H3" s="1" t="s">
        <v>74</v>
      </c>
      <c r="J3" t="str">
        <f>_xlfn.CONCAT(H3,"-",D3,"-",C3)</f>
        <v>Alice Smith-Stationery-Pen</v>
      </c>
    </row>
    <row r="4" spans="2:10" x14ac:dyDescent="0.3">
      <c r="B4" s="1">
        <v>102</v>
      </c>
      <c r="C4" s="1" t="s">
        <v>75</v>
      </c>
      <c r="D4" s="1" t="s">
        <v>73</v>
      </c>
      <c r="E4" s="1">
        <v>5</v>
      </c>
      <c r="F4" s="1">
        <v>50</v>
      </c>
      <c r="G4" s="5">
        <v>45689</v>
      </c>
      <c r="H4" s="1" t="s">
        <v>76</v>
      </c>
    </row>
    <row r="5" spans="2:10" x14ac:dyDescent="0.3">
      <c r="B5" s="1">
        <v>103</v>
      </c>
      <c r="C5" s="1" t="s">
        <v>77</v>
      </c>
      <c r="D5" s="1" t="s">
        <v>78</v>
      </c>
      <c r="E5" s="1">
        <v>2</v>
      </c>
      <c r="F5" s="1">
        <v>500</v>
      </c>
      <c r="G5" s="5">
        <v>45717</v>
      </c>
      <c r="H5" s="1" t="s">
        <v>79</v>
      </c>
    </row>
    <row r="6" spans="2:10" x14ac:dyDescent="0.3">
      <c r="B6" s="1">
        <v>104</v>
      </c>
      <c r="C6" s="1" t="s">
        <v>80</v>
      </c>
      <c r="D6" s="1" t="s">
        <v>78</v>
      </c>
      <c r="E6" s="1">
        <v>3</v>
      </c>
      <c r="F6" s="1">
        <v>800</v>
      </c>
      <c r="G6" s="5">
        <v>45748</v>
      </c>
      <c r="H6" s="1" t="s">
        <v>81</v>
      </c>
      <c r="J6" t="str">
        <f>_xlfn.TEXTJOIN("-",TRUE,D3,C3,H3)</f>
        <v>Stationery-Pen-Alice Smith</v>
      </c>
    </row>
    <row r="7" spans="2:10" x14ac:dyDescent="0.3">
      <c r="B7" s="1">
        <v>105</v>
      </c>
      <c r="C7" s="1" t="s">
        <v>82</v>
      </c>
      <c r="D7" s="1" t="s">
        <v>83</v>
      </c>
      <c r="E7" s="1">
        <v>4</v>
      </c>
      <c r="F7" s="1">
        <v>120</v>
      </c>
      <c r="G7" s="5">
        <v>45778</v>
      </c>
      <c r="H7" s="1" t="s">
        <v>84</v>
      </c>
    </row>
    <row r="8" spans="2:10" x14ac:dyDescent="0.3">
      <c r="B8" s="1">
        <v>106</v>
      </c>
      <c r="C8" s="1" t="s">
        <v>72</v>
      </c>
      <c r="D8" s="1" t="s">
        <v>73</v>
      </c>
      <c r="E8" s="1">
        <v>20</v>
      </c>
      <c r="F8" s="1">
        <v>15</v>
      </c>
      <c r="G8" s="5">
        <v>45809</v>
      </c>
      <c r="H8" s="1" t="s">
        <v>85</v>
      </c>
    </row>
    <row r="9" spans="2:10" x14ac:dyDescent="0.3">
      <c r="B9" s="15">
        <v>107</v>
      </c>
      <c r="C9" s="15" t="s">
        <v>75</v>
      </c>
      <c r="D9" s="15" t="s">
        <v>73</v>
      </c>
      <c r="E9" s="15">
        <v>7</v>
      </c>
      <c r="F9" s="15">
        <v>50</v>
      </c>
      <c r="G9" s="37">
        <v>45839</v>
      </c>
      <c r="H9" s="15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0D4B-C2DB-4A90-80F3-4B41963D4DB5}">
  <dimension ref="B2:N26"/>
  <sheetViews>
    <sheetView workbookViewId="0">
      <selection activeCell="M20" sqref="M17:N20"/>
    </sheetView>
  </sheetViews>
  <sheetFormatPr defaultRowHeight="14.4" x14ac:dyDescent="0.3"/>
  <cols>
    <col min="3" max="3" width="9.33203125" bestFit="1" customWidth="1"/>
    <col min="4" max="4" width="10.44140625" bestFit="1" customWidth="1"/>
    <col min="5" max="5" width="9.33203125" bestFit="1" customWidth="1"/>
    <col min="8" max="8" width="15.33203125" bestFit="1" customWidth="1"/>
    <col min="11" max="11" width="26" bestFit="1" customWidth="1"/>
    <col min="13" max="13" width="8" bestFit="1" customWidth="1"/>
    <col min="14" max="14" width="36.5546875" bestFit="1" customWidth="1"/>
  </cols>
  <sheetData>
    <row r="2" spans="2:14" x14ac:dyDescent="0.3"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J2" s="6" t="s">
        <v>70</v>
      </c>
      <c r="K2" t="s">
        <v>113</v>
      </c>
      <c r="M2" s="8" t="str">
        <f>_xlfn.XLOOKUP(B5,B3:B9,C3:C9)</f>
        <v>Mouse</v>
      </c>
      <c r="N2" s="9" t="str">
        <f>VLOOKUP(B5,B3:H9,2)</f>
        <v>Mouse</v>
      </c>
    </row>
    <row r="3" spans="2:14" x14ac:dyDescent="0.3">
      <c r="B3" s="1">
        <v>101</v>
      </c>
      <c r="C3" s="1" t="s">
        <v>72</v>
      </c>
      <c r="D3" s="1" t="s">
        <v>73</v>
      </c>
      <c r="E3" s="1">
        <v>10</v>
      </c>
      <c r="F3" s="1">
        <v>15</v>
      </c>
      <c r="G3" s="5">
        <v>45658</v>
      </c>
      <c r="H3" s="1" t="s">
        <v>74</v>
      </c>
      <c r="J3" s="6" t="s">
        <v>70</v>
      </c>
      <c r="K3" t="s">
        <v>114</v>
      </c>
      <c r="M3" s="8"/>
      <c r="N3" s="9">
        <f>_xlfn.XLOOKUP(C7,C3:C9,E3:E9)</f>
        <v>4</v>
      </c>
    </row>
    <row r="4" spans="2:14" x14ac:dyDescent="0.3">
      <c r="B4" s="1">
        <v>102</v>
      </c>
      <c r="C4" s="1" t="s">
        <v>75</v>
      </c>
      <c r="D4" s="1" t="s">
        <v>73</v>
      </c>
      <c r="E4" s="1">
        <v>5</v>
      </c>
      <c r="F4" s="1">
        <v>50</v>
      </c>
      <c r="G4" s="5">
        <v>45689</v>
      </c>
      <c r="H4" s="1" t="s">
        <v>76</v>
      </c>
    </row>
    <row r="5" spans="2:14" x14ac:dyDescent="0.3">
      <c r="B5" s="1">
        <v>103</v>
      </c>
      <c r="C5" s="1" t="s">
        <v>77</v>
      </c>
      <c r="D5" s="1" t="s">
        <v>78</v>
      </c>
      <c r="E5" s="1">
        <v>2</v>
      </c>
      <c r="F5" s="1">
        <v>500</v>
      </c>
      <c r="G5" s="5">
        <v>45717</v>
      </c>
      <c r="H5" s="1" t="s">
        <v>79</v>
      </c>
    </row>
    <row r="6" spans="2:14" x14ac:dyDescent="0.3">
      <c r="B6" s="1">
        <v>104</v>
      </c>
      <c r="C6" s="1" t="s">
        <v>80</v>
      </c>
      <c r="D6" s="1" t="s">
        <v>78</v>
      </c>
      <c r="E6" s="1">
        <v>3</v>
      </c>
      <c r="F6" s="1">
        <v>800</v>
      </c>
      <c r="G6" s="5">
        <v>45748</v>
      </c>
      <c r="H6" s="1" t="s">
        <v>81</v>
      </c>
      <c r="N6" s="6"/>
    </row>
    <row r="7" spans="2:14" x14ac:dyDescent="0.3">
      <c r="B7" s="1">
        <v>105</v>
      </c>
      <c r="C7" s="1" t="s">
        <v>82</v>
      </c>
      <c r="D7" s="1" t="s">
        <v>83</v>
      </c>
      <c r="E7" s="1">
        <v>4</v>
      </c>
      <c r="F7" s="1">
        <v>120</v>
      </c>
      <c r="G7" s="5">
        <v>45778</v>
      </c>
      <c r="H7" s="1" t="s">
        <v>84</v>
      </c>
      <c r="J7" s="6" t="s">
        <v>70</v>
      </c>
      <c r="K7" t="s">
        <v>113</v>
      </c>
      <c r="M7" s="8"/>
      <c r="N7" s="8"/>
    </row>
    <row r="8" spans="2:14" x14ac:dyDescent="0.3">
      <c r="B8" s="1">
        <v>106</v>
      </c>
      <c r="C8" s="1" t="s">
        <v>72</v>
      </c>
      <c r="D8" s="1" t="s">
        <v>73</v>
      </c>
      <c r="E8" s="1">
        <v>20</v>
      </c>
      <c r="F8" s="1">
        <v>15</v>
      </c>
      <c r="G8" s="5">
        <v>45809</v>
      </c>
      <c r="H8" s="1" t="s">
        <v>85</v>
      </c>
      <c r="J8" s="6" t="s">
        <v>70</v>
      </c>
      <c r="K8" t="s">
        <v>114</v>
      </c>
      <c r="M8" s="8"/>
      <c r="N8" s="17"/>
    </row>
    <row r="9" spans="2:14" x14ac:dyDescent="0.3">
      <c r="B9" s="1">
        <v>107</v>
      </c>
      <c r="C9" s="1" t="s">
        <v>75</v>
      </c>
      <c r="D9" s="1" t="s">
        <v>73</v>
      </c>
      <c r="E9" s="1">
        <v>7</v>
      </c>
      <c r="F9" s="1">
        <v>50</v>
      </c>
      <c r="G9" s="5">
        <v>45839</v>
      </c>
      <c r="H9" s="1" t="s">
        <v>86</v>
      </c>
      <c r="M9" s="8"/>
      <c r="N9" s="8"/>
    </row>
    <row r="12" spans="2:14" x14ac:dyDescent="0.3">
      <c r="K12" t="s">
        <v>114</v>
      </c>
      <c r="L12" t="s">
        <v>82</v>
      </c>
    </row>
    <row r="15" spans="2:14" x14ac:dyDescent="0.3">
      <c r="L15" t="str">
        <f>_xlfn.XLOOKUP("Mouse",C2:C9,H2:H9)</f>
        <v>Charlie Green</v>
      </c>
    </row>
    <row r="17" spans="3:14" x14ac:dyDescent="0.3">
      <c r="C17" s="3" t="s">
        <v>63</v>
      </c>
      <c r="D17" s="18">
        <v>101</v>
      </c>
      <c r="E17" s="18">
        <v>102</v>
      </c>
      <c r="F17" s="18">
        <v>103</v>
      </c>
      <c r="G17" s="18">
        <v>104</v>
      </c>
      <c r="H17" s="18">
        <v>105</v>
      </c>
      <c r="I17" s="18">
        <v>106</v>
      </c>
      <c r="J17" s="18">
        <v>107</v>
      </c>
      <c r="M17" s="45">
        <v>100</v>
      </c>
      <c r="N17" t="e">
        <f>_xlfn.XLOOKUP(M17,#REF!,#REF!)</f>
        <v>#REF!</v>
      </c>
    </row>
    <row r="18" spans="3:14" x14ac:dyDescent="0.3">
      <c r="C18" s="3" t="s">
        <v>64</v>
      </c>
      <c r="D18" s="8" t="s">
        <v>72</v>
      </c>
      <c r="E18" s="8" t="s">
        <v>75</v>
      </c>
      <c r="F18" s="8" t="s">
        <v>77</v>
      </c>
      <c r="G18" s="8" t="s">
        <v>80</v>
      </c>
      <c r="H18" s="8" t="s">
        <v>82</v>
      </c>
      <c r="I18" s="19" t="s">
        <v>72</v>
      </c>
      <c r="J18" s="8" t="s">
        <v>75</v>
      </c>
      <c r="M18" s="45">
        <v>101</v>
      </c>
      <c r="N18" t="str">
        <f t="shared" ref="N18:N19" si="0">_xlfn.XLOOKUP(M18,B1:B7,C1:C7)</f>
        <v>Pen</v>
      </c>
    </row>
    <row r="19" spans="3:14" x14ac:dyDescent="0.3">
      <c r="C19" s="3" t="s">
        <v>65</v>
      </c>
      <c r="D19" s="8" t="s">
        <v>73</v>
      </c>
      <c r="E19" s="8" t="s">
        <v>73</v>
      </c>
      <c r="F19" s="8" t="s">
        <v>78</v>
      </c>
      <c r="G19" s="8" t="s">
        <v>78</v>
      </c>
      <c r="H19" s="8" t="s">
        <v>83</v>
      </c>
      <c r="I19" s="8" t="s">
        <v>73</v>
      </c>
      <c r="J19" s="8" t="s">
        <v>73</v>
      </c>
      <c r="M19" s="45">
        <v>102</v>
      </c>
      <c r="N19" t="str">
        <f t="shared" si="0"/>
        <v>Notebook</v>
      </c>
    </row>
    <row r="20" spans="3:14" x14ac:dyDescent="0.3">
      <c r="C20" s="3" t="s">
        <v>66</v>
      </c>
      <c r="D20" s="8">
        <v>10</v>
      </c>
      <c r="E20" s="8">
        <v>5</v>
      </c>
      <c r="F20" s="8">
        <v>2</v>
      </c>
      <c r="G20" s="8">
        <v>3</v>
      </c>
      <c r="H20" s="8">
        <v>4</v>
      </c>
      <c r="I20" s="8">
        <v>20</v>
      </c>
      <c r="J20" s="8">
        <v>7</v>
      </c>
      <c r="M20" s="45">
        <v>103</v>
      </c>
      <c r="N20" t="str">
        <f>_xlfn.XLOOKUP(M20,B3:B9,C3:C9)</f>
        <v>Mouse</v>
      </c>
    </row>
    <row r="21" spans="3:14" x14ac:dyDescent="0.3">
      <c r="C21" s="3" t="s">
        <v>67</v>
      </c>
      <c r="D21" s="8">
        <v>15</v>
      </c>
      <c r="E21" s="8">
        <v>50</v>
      </c>
      <c r="F21" s="8">
        <v>500</v>
      </c>
      <c r="G21" s="8">
        <v>800</v>
      </c>
      <c r="H21" s="8">
        <v>120</v>
      </c>
      <c r="I21" s="8">
        <v>15</v>
      </c>
      <c r="J21" s="8">
        <v>50</v>
      </c>
      <c r="M21" s="45">
        <v>104</v>
      </c>
      <c r="N21" t="str">
        <f t="shared" ref="N21:N26" si="1">_xlfn.XLOOKUP(M21,B4:B10,C4:C10)</f>
        <v>Charger</v>
      </c>
    </row>
    <row r="22" spans="3:14" x14ac:dyDescent="0.3">
      <c r="C22" s="3" t="s">
        <v>68</v>
      </c>
      <c r="D22" s="17">
        <v>45658</v>
      </c>
      <c r="E22" s="17">
        <v>45689</v>
      </c>
      <c r="F22" s="17">
        <v>45717</v>
      </c>
      <c r="G22" s="17">
        <v>45748</v>
      </c>
      <c r="H22" s="17">
        <v>45778</v>
      </c>
      <c r="I22" s="17">
        <v>45809</v>
      </c>
      <c r="J22" s="17">
        <v>45839</v>
      </c>
      <c r="M22" s="45">
        <v>105</v>
      </c>
      <c r="N22" t="str">
        <f t="shared" si="1"/>
        <v>Bottle</v>
      </c>
    </row>
    <row r="23" spans="3:14" x14ac:dyDescent="0.3">
      <c r="C23" s="3" t="s">
        <v>69</v>
      </c>
      <c r="D23" s="8" t="s">
        <v>74</v>
      </c>
      <c r="E23" s="8" t="s">
        <v>76</v>
      </c>
      <c r="F23" s="8" t="s">
        <v>79</v>
      </c>
      <c r="G23" s="8" t="s">
        <v>81</v>
      </c>
      <c r="H23" s="8" t="s">
        <v>84</v>
      </c>
      <c r="I23" s="8" t="s">
        <v>85</v>
      </c>
      <c r="J23" s="8" t="s">
        <v>86</v>
      </c>
      <c r="M23" s="45">
        <v>106</v>
      </c>
      <c r="N23" t="str">
        <f t="shared" si="1"/>
        <v>Pen</v>
      </c>
    </row>
    <row r="24" spans="3:14" x14ac:dyDescent="0.3">
      <c r="M24" s="45">
        <v>107</v>
      </c>
      <c r="N24" t="str">
        <f t="shared" si="1"/>
        <v>Notebook</v>
      </c>
    </row>
    <row r="25" spans="3:14" x14ac:dyDescent="0.3">
      <c r="M25" s="45">
        <v>108</v>
      </c>
      <c r="N25" t="e">
        <f t="shared" si="1"/>
        <v>#N/A</v>
      </c>
    </row>
    <row r="26" spans="3:14" x14ac:dyDescent="0.3">
      <c r="M26" s="45">
        <v>109</v>
      </c>
      <c r="N26" t="e">
        <f t="shared" si="1"/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39CF-0213-4739-9CFB-BC912C1CE401}">
  <dimension ref="B3:O25"/>
  <sheetViews>
    <sheetView topLeftCell="B1" workbookViewId="0">
      <selection activeCell="J16" sqref="J16"/>
    </sheetView>
  </sheetViews>
  <sheetFormatPr defaultRowHeight="14.4" x14ac:dyDescent="0.3"/>
  <cols>
    <col min="2" max="2" width="10.109375" bestFit="1" customWidth="1"/>
    <col min="4" max="4" width="12.109375" customWidth="1"/>
    <col min="8" max="8" width="15.33203125" bestFit="1" customWidth="1"/>
    <col min="11" max="11" width="14.5546875" bestFit="1" customWidth="1"/>
    <col min="14" max="14" width="10.109375" bestFit="1" customWidth="1"/>
  </cols>
  <sheetData>
    <row r="3" spans="2:15" x14ac:dyDescent="0.3">
      <c r="N3" t="s">
        <v>115</v>
      </c>
      <c r="O3" t="s">
        <v>116</v>
      </c>
    </row>
    <row r="4" spans="2:15" x14ac:dyDescent="0.3"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K4" t="s">
        <v>117</v>
      </c>
      <c r="M4" s="3" t="s">
        <v>64</v>
      </c>
      <c r="N4" s="3" t="s">
        <v>118</v>
      </c>
      <c r="O4" s="3"/>
    </row>
    <row r="5" spans="2:15" x14ac:dyDescent="0.3">
      <c r="B5" s="1">
        <v>101</v>
      </c>
      <c r="C5" s="1" t="s">
        <v>72</v>
      </c>
      <c r="D5" s="1" t="s">
        <v>73</v>
      </c>
      <c r="E5" s="1">
        <v>10</v>
      </c>
      <c r="F5" s="1">
        <v>15</v>
      </c>
      <c r="G5" s="5">
        <v>45658</v>
      </c>
      <c r="H5" s="1" t="s">
        <v>74</v>
      </c>
      <c r="J5" s="40">
        <v>102</v>
      </c>
      <c r="K5" s="38" t="str">
        <f>VLOOKUP(J5,$B$4:$H$11,7,0)</f>
        <v>Bob Johnson</v>
      </c>
      <c r="M5" s="1" t="s">
        <v>72</v>
      </c>
      <c r="N5" s="1" t="str">
        <f>_xlfn.XLOOKUP(M5,$C$5:$C$11,$D$5:$D$11)</f>
        <v>Stationery</v>
      </c>
      <c r="O5" s="1" t="str">
        <f>VLOOKUP(M5,$C$4:$D$11,2,TRUE)</f>
        <v>Stationery</v>
      </c>
    </row>
    <row r="6" spans="2:15" x14ac:dyDescent="0.3">
      <c r="B6" s="1">
        <v>102</v>
      </c>
      <c r="C6" s="1" t="s">
        <v>75</v>
      </c>
      <c r="D6" s="1" t="s">
        <v>73</v>
      </c>
      <c r="E6" s="1">
        <v>5</v>
      </c>
      <c r="F6" s="1">
        <v>50</v>
      </c>
      <c r="G6" s="5">
        <v>45689</v>
      </c>
      <c r="H6" s="1" t="s">
        <v>76</v>
      </c>
      <c r="J6" s="41"/>
      <c r="K6" s="41"/>
      <c r="M6" s="1" t="s">
        <v>75</v>
      </c>
      <c r="N6" s="1" t="str">
        <f t="shared" ref="N6:N15" si="0">_xlfn.XLOOKUP(M6,$C$5:$C$11,$D$5:$D$11)</f>
        <v>Stationery</v>
      </c>
      <c r="O6" s="1" t="str">
        <f t="shared" ref="O6:O15" si="1">VLOOKUP(M6,$C$4:$D$11,2,FALSE)</f>
        <v>Stationery</v>
      </c>
    </row>
    <row r="7" spans="2:15" x14ac:dyDescent="0.3">
      <c r="B7" s="1">
        <v>103</v>
      </c>
      <c r="C7" s="1" t="s">
        <v>77</v>
      </c>
      <c r="D7" s="1" t="s">
        <v>78</v>
      </c>
      <c r="E7" s="1">
        <v>2</v>
      </c>
      <c r="F7" s="1">
        <v>500</v>
      </c>
      <c r="G7" s="5">
        <v>45717</v>
      </c>
      <c r="H7" s="1" t="s">
        <v>79</v>
      </c>
      <c r="J7" s="6"/>
      <c r="M7" s="1" t="s">
        <v>77</v>
      </c>
      <c r="N7" s="1" t="str">
        <f t="shared" si="0"/>
        <v>Electronics</v>
      </c>
      <c r="O7" s="1" t="str">
        <f t="shared" si="1"/>
        <v>Electronics</v>
      </c>
    </row>
    <row r="8" spans="2:15" x14ac:dyDescent="0.3">
      <c r="B8" s="1">
        <v>104</v>
      </c>
      <c r="C8" s="1" t="s">
        <v>80</v>
      </c>
      <c r="D8" s="1" t="s">
        <v>78</v>
      </c>
      <c r="E8" s="1">
        <v>3</v>
      </c>
      <c r="F8" s="1">
        <v>800</v>
      </c>
      <c r="G8" s="5">
        <v>45748</v>
      </c>
      <c r="H8" s="1" t="s">
        <v>81</v>
      </c>
      <c r="M8" s="1" t="s">
        <v>80</v>
      </c>
      <c r="N8" s="1" t="str">
        <f t="shared" si="0"/>
        <v>Electronics</v>
      </c>
      <c r="O8" s="1" t="str">
        <f t="shared" si="1"/>
        <v>Electronics</v>
      </c>
    </row>
    <row r="9" spans="2:15" x14ac:dyDescent="0.3">
      <c r="B9" s="1">
        <v>105</v>
      </c>
      <c r="C9" s="1" t="s">
        <v>82</v>
      </c>
      <c r="D9" s="1" t="s">
        <v>83</v>
      </c>
      <c r="E9" s="1">
        <v>4</v>
      </c>
      <c r="F9" s="1">
        <v>120</v>
      </c>
      <c r="G9" s="5">
        <v>45778</v>
      </c>
      <c r="H9" s="1" t="s">
        <v>84</v>
      </c>
      <c r="M9" s="1" t="s">
        <v>82</v>
      </c>
      <c r="N9" s="1" t="str">
        <f t="shared" si="0"/>
        <v>Kitchen</v>
      </c>
      <c r="O9" s="1" t="str">
        <f>VLOOKUP(M9,$C$4:$D$11,2,FALSE)</f>
        <v>Kitchen</v>
      </c>
    </row>
    <row r="10" spans="2:15" x14ac:dyDescent="0.3">
      <c r="B10" s="1">
        <v>106</v>
      </c>
      <c r="C10" s="1" t="s">
        <v>72</v>
      </c>
      <c r="D10" s="1" t="s">
        <v>73</v>
      </c>
      <c r="E10" s="1">
        <v>20</v>
      </c>
      <c r="F10" s="1">
        <v>15</v>
      </c>
      <c r="G10" s="5">
        <v>45809</v>
      </c>
      <c r="H10" s="1" t="s">
        <v>85</v>
      </c>
      <c r="M10" s="1" t="s">
        <v>72</v>
      </c>
      <c r="N10" s="1" t="str">
        <f t="shared" si="0"/>
        <v>Stationery</v>
      </c>
      <c r="O10" s="1" t="str">
        <f t="shared" si="1"/>
        <v>Stationery</v>
      </c>
    </row>
    <row r="11" spans="2:15" x14ac:dyDescent="0.3">
      <c r="B11" s="1">
        <v>107</v>
      </c>
      <c r="C11" s="1" t="s">
        <v>75</v>
      </c>
      <c r="D11" s="1" t="s">
        <v>73</v>
      </c>
      <c r="E11" s="1">
        <v>7</v>
      </c>
      <c r="F11" s="1">
        <v>50</v>
      </c>
      <c r="G11" s="5">
        <v>45839</v>
      </c>
      <c r="H11" s="1" t="s">
        <v>86</v>
      </c>
      <c r="M11" s="38" t="s">
        <v>75</v>
      </c>
      <c r="N11" s="1" t="str">
        <f t="shared" si="0"/>
        <v>Stationery</v>
      </c>
      <c r="O11" s="1" t="str">
        <f t="shared" si="1"/>
        <v>Stationery</v>
      </c>
    </row>
    <row r="12" spans="2:15" x14ac:dyDescent="0.3">
      <c r="M12" s="1" t="s">
        <v>80</v>
      </c>
      <c r="N12" s="1" t="str">
        <f t="shared" si="0"/>
        <v>Electronics</v>
      </c>
      <c r="O12" s="1" t="str">
        <f t="shared" si="1"/>
        <v>Electronics</v>
      </c>
    </row>
    <row r="13" spans="2:15" x14ac:dyDescent="0.3">
      <c r="M13" s="1" t="s">
        <v>82</v>
      </c>
      <c r="N13" s="1" t="str">
        <f t="shared" si="0"/>
        <v>Kitchen</v>
      </c>
      <c r="O13" s="1" t="str">
        <f t="shared" si="1"/>
        <v>Kitchen</v>
      </c>
    </row>
    <row r="14" spans="2:15" x14ac:dyDescent="0.3">
      <c r="M14" s="1" t="s">
        <v>72</v>
      </c>
      <c r="N14" s="1" t="str">
        <f t="shared" si="0"/>
        <v>Stationery</v>
      </c>
      <c r="O14" s="1" t="str">
        <f t="shared" si="1"/>
        <v>Stationery</v>
      </c>
    </row>
    <row r="15" spans="2:15" x14ac:dyDescent="0.3">
      <c r="M15" s="1" t="s">
        <v>75</v>
      </c>
      <c r="N15" s="1" t="str">
        <f t="shared" si="0"/>
        <v>Stationery</v>
      </c>
      <c r="O15" s="1" t="str">
        <f t="shared" si="1"/>
        <v>Stationery</v>
      </c>
    </row>
    <row r="16" spans="2:15" x14ac:dyDescent="0.3">
      <c r="M16" s="1" t="s">
        <v>119</v>
      </c>
      <c r="N16" s="1"/>
      <c r="O16" s="1"/>
    </row>
    <row r="17" spans="2:9" x14ac:dyDescent="0.3">
      <c r="B17" s="20"/>
      <c r="C17" s="39"/>
      <c r="D17" s="39"/>
      <c r="E17" s="39"/>
      <c r="F17" s="39"/>
      <c r="G17" s="39"/>
      <c r="H17" s="39"/>
      <c r="I17" s="39"/>
    </row>
    <row r="18" spans="2:9" x14ac:dyDescent="0.3">
      <c r="B18" s="20"/>
      <c r="C18" s="6"/>
      <c r="D18" s="6"/>
      <c r="E18" s="6"/>
      <c r="F18" s="6"/>
      <c r="G18" s="6"/>
      <c r="H18" s="6"/>
      <c r="I18" s="6"/>
    </row>
    <row r="19" spans="2:9" x14ac:dyDescent="0.3">
      <c r="B19" s="20"/>
      <c r="C19" s="6"/>
      <c r="D19" s="6"/>
      <c r="E19" s="6"/>
      <c r="F19" s="6"/>
      <c r="G19" s="6"/>
      <c r="H19" s="6"/>
      <c r="I19" s="6"/>
    </row>
    <row r="25" spans="2:9" x14ac:dyDescent="0.3">
      <c r="E25" s="3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F35A-2907-4AA3-BAD2-B59D5A407A32}">
  <dimension ref="C3:E14"/>
  <sheetViews>
    <sheetView workbookViewId="0">
      <selection activeCell="F15" sqref="F15"/>
    </sheetView>
  </sheetViews>
  <sheetFormatPr defaultRowHeight="14.4" x14ac:dyDescent="0.3"/>
  <cols>
    <col min="3" max="3" width="24.88671875" bestFit="1" customWidth="1"/>
    <col min="4" max="4" width="22.6640625" bestFit="1" customWidth="1"/>
    <col min="5" max="5" width="23.33203125" bestFit="1" customWidth="1"/>
  </cols>
  <sheetData>
    <row r="3" spans="3:5" ht="18" x14ac:dyDescent="0.35">
      <c r="C3" s="33" t="s">
        <v>120</v>
      </c>
    </row>
    <row r="4" spans="3:5" x14ac:dyDescent="0.3">
      <c r="C4" s="36" t="s">
        <v>121</v>
      </c>
      <c r="D4" s="35" t="s">
        <v>30</v>
      </c>
      <c r="E4" s="35" t="s">
        <v>33</v>
      </c>
    </row>
    <row r="5" spans="3:5" x14ac:dyDescent="0.3">
      <c r="C5" s="36" t="s">
        <v>122</v>
      </c>
      <c r="D5" s="15" t="s">
        <v>123</v>
      </c>
      <c r="E5" s="15" t="s">
        <v>124</v>
      </c>
    </row>
    <row r="6" spans="3:5" x14ac:dyDescent="0.3">
      <c r="C6" s="36" t="s">
        <v>125</v>
      </c>
      <c r="D6" s="1" t="s">
        <v>126</v>
      </c>
      <c r="E6" s="1" t="s">
        <v>127</v>
      </c>
    </row>
    <row r="7" spans="3:5" x14ac:dyDescent="0.3">
      <c r="C7" s="36" t="s">
        <v>128</v>
      </c>
      <c r="D7" s="1" t="s">
        <v>129</v>
      </c>
      <c r="E7" s="1" t="s">
        <v>130</v>
      </c>
    </row>
    <row r="8" spans="3:5" x14ac:dyDescent="0.3">
      <c r="C8" s="36" t="s">
        <v>131</v>
      </c>
      <c r="D8" s="15" t="s">
        <v>132</v>
      </c>
      <c r="E8" s="15" t="s">
        <v>133</v>
      </c>
    </row>
    <row r="13" spans="3:5" x14ac:dyDescent="0.3">
      <c r="D13" t="s">
        <v>117</v>
      </c>
    </row>
    <row r="14" spans="3:5" x14ac:dyDescent="0.3">
      <c r="C14" s="8">
        <v>105</v>
      </c>
      <c r="D14" s="1" t="str">
        <f>_xlfn.XLOOKUP(C14,Sheet4!B:B,Sheet4!H:H)</f>
        <v>Eva White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99A2-A065-4C0A-8C16-613BD7A27E78}">
  <dimension ref="B2:N20"/>
  <sheetViews>
    <sheetView tabSelected="1" workbookViewId="0">
      <selection activeCell="G4" sqref="G4"/>
    </sheetView>
  </sheetViews>
  <sheetFormatPr defaultRowHeight="14.4" x14ac:dyDescent="0.3"/>
  <cols>
    <col min="3" max="3" width="10.33203125" bestFit="1" customWidth="1"/>
    <col min="4" max="4" width="10.44140625" bestFit="1" customWidth="1"/>
    <col min="6" max="6" width="10.88671875" bestFit="1" customWidth="1"/>
    <col min="7" max="7" width="10.33203125" bestFit="1" customWidth="1"/>
    <col min="8" max="8" width="18.88671875" bestFit="1" customWidth="1"/>
    <col min="9" max="9" width="16.6640625" bestFit="1" customWidth="1"/>
    <col min="11" max="11" width="17.109375" customWidth="1"/>
    <col min="13" max="13" width="11.6640625" bestFit="1" customWidth="1"/>
  </cols>
  <sheetData>
    <row r="2" spans="2:14" x14ac:dyDescent="0.3"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20"/>
      <c r="K2" s="6"/>
    </row>
    <row r="3" spans="2:14" x14ac:dyDescent="0.3">
      <c r="B3" s="1">
        <v>101</v>
      </c>
      <c r="C3" s="1" t="s">
        <v>72</v>
      </c>
      <c r="D3" s="1" t="s">
        <v>73</v>
      </c>
      <c r="E3" s="1">
        <v>10</v>
      </c>
      <c r="F3" s="1">
        <v>15</v>
      </c>
      <c r="G3" s="5">
        <v>45658</v>
      </c>
      <c r="H3" s="1" t="s">
        <v>74</v>
      </c>
      <c r="J3" t="str">
        <f>LEFT(D3,3)</f>
        <v>Sta</v>
      </c>
      <c r="K3" s="21" t="str">
        <f>RIGHT(D3,3)</f>
        <v>ery</v>
      </c>
      <c r="L3" s="6"/>
      <c r="M3">
        <v>1234567890</v>
      </c>
      <c r="N3" t="str">
        <f>RIGHT(M3,4)</f>
        <v>7890</v>
      </c>
    </row>
    <row r="4" spans="2:14" x14ac:dyDescent="0.3">
      <c r="B4" s="1">
        <v>102</v>
      </c>
      <c r="C4" s="1" t="s">
        <v>75</v>
      </c>
      <c r="D4" s="1" t="s">
        <v>73</v>
      </c>
      <c r="E4" s="1">
        <v>5</v>
      </c>
      <c r="F4" s="1">
        <v>50</v>
      </c>
      <c r="G4" s="5">
        <v>45689</v>
      </c>
      <c r="H4" s="1" t="s">
        <v>76</v>
      </c>
      <c r="J4" t="str">
        <f t="shared" ref="J4:J9" si="0">LEFT(D4,3)</f>
        <v>Sta</v>
      </c>
      <c r="K4" s="21" t="str">
        <f t="shared" ref="K4:K9" si="1">RIGHT(D4,3)</f>
        <v>ery</v>
      </c>
      <c r="L4" s="6"/>
    </row>
    <row r="5" spans="2:14" x14ac:dyDescent="0.3">
      <c r="B5" s="1">
        <v>103</v>
      </c>
      <c r="C5" s="1" t="s">
        <v>77</v>
      </c>
      <c r="D5" s="1" t="s">
        <v>78</v>
      </c>
      <c r="E5" s="1">
        <v>2</v>
      </c>
      <c r="F5" s="1">
        <v>500</v>
      </c>
      <c r="G5" s="5">
        <v>45717</v>
      </c>
      <c r="H5" s="1" t="s">
        <v>79</v>
      </c>
      <c r="J5" t="str">
        <f t="shared" si="0"/>
        <v>Ele</v>
      </c>
      <c r="K5" s="21" t="str">
        <f t="shared" si="1"/>
        <v>ics</v>
      </c>
      <c r="L5" s="6"/>
    </row>
    <row r="6" spans="2:14" x14ac:dyDescent="0.3">
      <c r="B6" s="1">
        <v>104</v>
      </c>
      <c r="C6" s="1" t="s">
        <v>80</v>
      </c>
      <c r="D6" s="1" t="s">
        <v>78</v>
      </c>
      <c r="E6" s="1">
        <v>3</v>
      </c>
      <c r="F6" s="1">
        <v>800</v>
      </c>
      <c r="G6" s="5">
        <v>45748</v>
      </c>
      <c r="H6" s="1" t="s">
        <v>81</v>
      </c>
      <c r="J6" t="str">
        <f t="shared" si="0"/>
        <v>Ele</v>
      </c>
      <c r="K6" s="21" t="str">
        <f t="shared" si="1"/>
        <v>ics</v>
      </c>
    </row>
    <row r="7" spans="2:14" x14ac:dyDescent="0.3">
      <c r="B7" s="1">
        <v>105</v>
      </c>
      <c r="C7" s="1" t="s">
        <v>82</v>
      </c>
      <c r="D7" s="1" t="s">
        <v>83</v>
      </c>
      <c r="E7" s="1">
        <v>4</v>
      </c>
      <c r="F7" s="1">
        <v>120</v>
      </c>
      <c r="G7" s="5">
        <v>45778</v>
      </c>
      <c r="H7" s="1" t="s">
        <v>84</v>
      </c>
      <c r="J7" t="str">
        <f t="shared" si="0"/>
        <v>Kit</v>
      </c>
      <c r="K7" s="21" t="str">
        <f t="shared" si="1"/>
        <v>hen</v>
      </c>
    </row>
    <row r="8" spans="2:14" x14ac:dyDescent="0.3">
      <c r="B8" s="1">
        <v>106</v>
      </c>
      <c r="C8" s="1" t="s">
        <v>72</v>
      </c>
      <c r="D8" s="1" t="s">
        <v>73</v>
      </c>
      <c r="E8" s="1">
        <v>20</v>
      </c>
      <c r="F8" s="1">
        <v>15</v>
      </c>
      <c r="G8" s="5">
        <v>45809</v>
      </c>
      <c r="H8" s="1" t="s">
        <v>85</v>
      </c>
      <c r="J8" t="str">
        <f t="shared" si="0"/>
        <v>Sta</v>
      </c>
      <c r="K8" s="21" t="str">
        <f t="shared" si="1"/>
        <v>ery</v>
      </c>
    </row>
    <row r="9" spans="2:14" x14ac:dyDescent="0.3">
      <c r="B9" s="1">
        <v>107</v>
      </c>
      <c r="C9" s="1" t="s">
        <v>75</v>
      </c>
      <c r="D9" s="1" t="s">
        <v>73</v>
      </c>
      <c r="E9" s="1">
        <v>7</v>
      </c>
      <c r="F9" s="1">
        <v>50</v>
      </c>
      <c r="G9" s="5">
        <v>45839</v>
      </c>
      <c r="H9" s="1" t="s">
        <v>86</v>
      </c>
      <c r="J9" t="str">
        <f t="shared" si="0"/>
        <v>Sta</v>
      </c>
      <c r="K9" s="21" t="str">
        <f t="shared" si="1"/>
        <v>ery</v>
      </c>
    </row>
    <row r="12" spans="2:14" x14ac:dyDescent="0.3">
      <c r="C12" s="5">
        <v>45658</v>
      </c>
      <c r="D12" t="str">
        <f>LEFT(1,2)</f>
        <v>1</v>
      </c>
      <c r="E12" t="str">
        <f>TEXT(C12,1)</f>
        <v>1</v>
      </c>
      <c r="F12" t="str">
        <f>RIGHT(2025,4)</f>
        <v>2025</v>
      </c>
      <c r="H12" s="21">
        <v>-919012121212</v>
      </c>
      <c r="I12" t="str">
        <f>RIGHT(H12,4)</f>
        <v>1212</v>
      </c>
    </row>
    <row r="13" spans="2:14" x14ac:dyDescent="0.3">
      <c r="C13" s="5">
        <v>45659</v>
      </c>
      <c r="D13" t="str">
        <f t="shared" ref="D13:D20" si="2">LEFT(1,2)</f>
        <v>1</v>
      </c>
      <c r="E13" t="str">
        <f t="shared" ref="E13:E20" si="3">TEXT(C13,1)</f>
        <v>1</v>
      </c>
      <c r="F13" t="str">
        <f t="shared" ref="F13:F20" si="4">RIGHT(2025,4)</f>
        <v>2025</v>
      </c>
    </row>
    <row r="14" spans="2:14" x14ac:dyDescent="0.3">
      <c r="C14" s="5">
        <v>45660</v>
      </c>
      <c r="D14" t="str">
        <f t="shared" si="2"/>
        <v>1</v>
      </c>
      <c r="E14" t="str">
        <f t="shared" si="3"/>
        <v>1</v>
      </c>
      <c r="F14" t="str">
        <f t="shared" si="4"/>
        <v>2025</v>
      </c>
      <c r="I14" t="s">
        <v>134</v>
      </c>
    </row>
    <row r="15" spans="2:14" x14ac:dyDescent="0.3">
      <c r="C15" s="5">
        <v>45661</v>
      </c>
      <c r="D15" t="str">
        <f t="shared" si="2"/>
        <v>1</v>
      </c>
      <c r="E15" t="str">
        <f t="shared" si="3"/>
        <v>1</v>
      </c>
      <c r="F15" t="str">
        <f t="shared" si="4"/>
        <v>2025</v>
      </c>
    </row>
    <row r="16" spans="2:14" x14ac:dyDescent="0.3">
      <c r="C16" s="5">
        <v>45662</v>
      </c>
      <c r="D16" t="str">
        <f t="shared" si="2"/>
        <v>1</v>
      </c>
      <c r="E16" t="str">
        <f t="shared" si="3"/>
        <v>1</v>
      </c>
      <c r="F16" t="str">
        <f t="shared" si="4"/>
        <v>2025</v>
      </c>
      <c r="H16" s="21">
        <v>12345678900000</v>
      </c>
      <c r="I16" t="str">
        <f>LEFT(H16,9)</f>
        <v>123456789</v>
      </c>
    </row>
    <row r="17" spans="3:6" x14ac:dyDescent="0.3">
      <c r="C17" s="5">
        <v>45663</v>
      </c>
      <c r="D17" t="str">
        <f t="shared" si="2"/>
        <v>1</v>
      </c>
      <c r="E17" t="str">
        <f t="shared" si="3"/>
        <v>1</v>
      </c>
      <c r="F17" t="str">
        <f t="shared" si="4"/>
        <v>2025</v>
      </c>
    </row>
    <row r="18" spans="3:6" x14ac:dyDescent="0.3">
      <c r="C18" s="5">
        <v>45664</v>
      </c>
      <c r="D18" t="str">
        <f t="shared" si="2"/>
        <v>1</v>
      </c>
      <c r="E18" t="str">
        <f t="shared" si="3"/>
        <v>1</v>
      </c>
      <c r="F18" t="str">
        <f t="shared" si="4"/>
        <v>2025</v>
      </c>
    </row>
    <row r="19" spans="3:6" x14ac:dyDescent="0.3">
      <c r="C19" s="5">
        <v>45665</v>
      </c>
      <c r="D19" t="str">
        <f t="shared" si="2"/>
        <v>1</v>
      </c>
      <c r="E19" t="str">
        <f t="shared" si="3"/>
        <v>1</v>
      </c>
      <c r="F19" t="str">
        <f t="shared" si="4"/>
        <v>2025</v>
      </c>
    </row>
    <row r="20" spans="3:6" x14ac:dyDescent="0.3">
      <c r="C20" s="5">
        <v>45666</v>
      </c>
      <c r="D20" t="str">
        <f t="shared" si="2"/>
        <v>1</v>
      </c>
      <c r="E20" t="str">
        <f t="shared" si="3"/>
        <v>1</v>
      </c>
      <c r="F20" t="str">
        <f t="shared" si="4"/>
        <v>2025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DF70-E70C-4878-B85A-251F42B50F35}">
  <dimension ref="B2:K11"/>
  <sheetViews>
    <sheetView workbookViewId="0">
      <selection activeCell="H3" sqref="H3"/>
    </sheetView>
  </sheetViews>
  <sheetFormatPr defaultRowHeight="14.4" x14ac:dyDescent="0.3"/>
  <cols>
    <col min="3" max="3" width="9.33203125" bestFit="1" customWidth="1"/>
    <col min="4" max="4" width="10.44140625" bestFit="1" customWidth="1"/>
    <col min="7" max="7" width="9.33203125" bestFit="1" customWidth="1"/>
    <col min="8" max="8" width="15.88671875" bestFit="1" customWidth="1"/>
    <col min="10" max="10" width="12.33203125" bestFit="1" customWidth="1"/>
    <col min="11" max="11" width="29.5546875" customWidth="1"/>
  </cols>
  <sheetData>
    <row r="2" spans="2:11" x14ac:dyDescent="0.3"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J2" s="6"/>
    </row>
    <row r="3" spans="2:11" x14ac:dyDescent="0.3">
      <c r="B3" s="1">
        <v>101</v>
      </c>
      <c r="C3" s="1" t="s">
        <v>72</v>
      </c>
      <c r="D3" s="1" t="s">
        <v>73</v>
      </c>
      <c r="E3" s="1">
        <v>10</v>
      </c>
      <c r="F3" s="1">
        <v>15</v>
      </c>
      <c r="G3" s="5">
        <v>45658</v>
      </c>
      <c r="H3" s="1" t="s">
        <v>135</v>
      </c>
      <c r="J3">
        <f>LEN(H3)</f>
        <v>14</v>
      </c>
      <c r="K3" t="str">
        <f>TRIM(H3)</f>
        <v>Alice Smith</v>
      </c>
    </row>
    <row r="4" spans="2:11" x14ac:dyDescent="0.3">
      <c r="B4" s="1">
        <v>102</v>
      </c>
      <c r="C4" s="1" t="s">
        <v>75</v>
      </c>
      <c r="D4" s="1" t="s">
        <v>73</v>
      </c>
      <c r="E4" s="1">
        <v>5</v>
      </c>
      <c r="F4" s="1">
        <v>50</v>
      </c>
      <c r="G4" s="5">
        <v>45689</v>
      </c>
      <c r="H4" s="1" t="s">
        <v>136</v>
      </c>
      <c r="J4" t="str">
        <f>TRIM(H4)</f>
        <v>Bob Johnson</v>
      </c>
      <c r="K4" t="str">
        <f t="shared" ref="K4:K9" si="0">TRIM(H4)</f>
        <v>Bob Johnson</v>
      </c>
    </row>
    <row r="5" spans="2:11" x14ac:dyDescent="0.3">
      <c r="B5" s="1">
        <v>103</v>
      </c>
      <c r="C5" s="1" t="s">
        <v>77</v>
      </c>
      <c r="D5" s="1" t="s">
        <v>78</v>
      </c>
      <c r="E5" s="1">
        <v>2</v>
      </c>
      <c r="F5" s="1">
        <v>500</v>
      </c>
      <c r="G5" s="5">
        <v>45717</v>
      </c>
      <c r="H5" s="1" t="s">
        <v>137</v>
      </c>
      <c r="J5" t="str">
        <f>TRIM(H5)</f>
        <v>Charlie Green</v>
      </c>
      <c r="K5" t="str">
        <f t="shared" si="0"/>
        <v>Charlie Green</v>
      </c>
    </row>
    <row r="6" spans="2:11" x14ac:dyDescent="0.3">
      <c r="B6" s="1">
        <v>104</v>
      </c>
      <c r="C6" s="1" t="s">
        <v>80</v>
      </c>
      <c r="D6" s="1" t="s">
        <v>78</v>
      </c>
      <c r="E6" s="1">
        <v>3</v>
      </c>
      <c r="F6" s="1">
        <v>800</v>
      </c>
      <c r="G6" s="5">
        <v>45748</v>
      </c>
      <c r="H6" s="1" t="s">
        <v>138</v>
      </c>
      <c r="J6" t="str">
        <f t="shared" ref="J6:J9" si="1">TRIM(H6)</f>
        <v>Daisy Brown</v>
      </c>
      <c r="K6" t="str">
        <f t="shared" si="0"/>
        <v>Daisy Brown</v>
      </c>
    </row>
    <row r="7" spans="2:11" x14ac:dyDescent="0.3">
      <c r="B7" s="1">
        <v>105</v>
      </c>
      <c r="C7" s="1" t="s">
        <v>82</v>
      </c>
      <c r="D7" s="1" t="s">
        <v>83</v>
      </c>
      <c r="E7" s="1">
        <v>4</v>
      </c>
      <c r="F7" s="1">
        <v>120</v>
      </c>
      <c r="G7" s="5">
        <v>45778</v>
      </c>
      <c r="H7" s="1" t="s">
        <v>139</v>
      </c>
      <c r="J7" t="str">
        <f t="shared" si="1"/>
        <v>Eva White</v>
      </c>
      <c r="K7" t="str">
        <f t="shared" si="0"/>
        <v>Eva White</v>
      </c>
    </row>
    <row r="8" spans="2:11" x14ac:dyDescent="0.3">
      <c r="B8" s="1">
        <v>106</v>
      </c>
      <c r="C8" s="1" t="s">
        <v>72</v>
      </c>
      <c r="D8" s="1" t="s">
        <v>73</v>
      </c>
      <c r="E8" s="1">
        <v>20</v>
      </c>
      <c r="F8" s="1">
        <v>15</v>
      </c>
      <c r="G8" s="5">
        <v>45809</v>
      </c>
      <c r="H8" s="1" t="s">
        <v>140</v>
      </c>
      <c r="J8" t="str">
        <f t="shared" si="1"/>
        <v>Frank Black</v>
      </c>
      <c r="K8" t="str">
        <f t="shared" si="0"/>
        <v>Frank Black</v>
      </c>
    </row>
    <row r="9" spans="2:11" x14ac:dyDescent="0.3">
      <c r="B9" s="1">
        <v>107</v>
      </c>
      <c r="C9" s="1" t="s">
        <v>75</v>
      </c>
      <c r="D9" s="1" t="s">
        <v>73</v>
      </c>
      <c r="E9" s="1">
        <v>7</v>
      </c>
      <c r="F9" s="1">
        <v>50</v>
      </c>
      <c r="G9" s="5">
        <v>45839</v>
      </c>
      <c r="H9" s="1" t="s">
        <v>141</v>
      </c>
      <c r="J9" t="str">
        <f t="shared" si="1"/>
        <v>Grace Lee</v>
      </c>
      <c r="K9" t="str">
        <f t="shared" si="0"/>
        <v>Grace Lee</v>
      </c>
    </row>
    <row r="11" spans="2:11" x14ac:dyDescent="0.3">
      <c r="E11">
        <f>LEN(D5)</f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9E6D-1946-4E03-A378-5D5CE2584D5E}">
  <dimension ref="B2:N9"/>
  <sheetViews>
    <sheetView workbookViewId="0">
      <selection activeCell="O9" sqref="O9"/>
    </sheetView>
  </sheetViews>
  <sheetFormatPr defaultRowHeight="14.4" x14ac:dyDescent="0.3"/>
  <cols>
    <col min="4" max="4" width="10.44140625" bestFit="1" customWidth="1"/>
    <col min="8" max="8" width="15.33203125" bestFit="1" customWidth="1"/>
    <col min="11" max="11" width="13.6640625" customWidth="1"/>
    <col min="12" max="12" width="21.88671875" bestFit="1" customWidth="1"/>
  </cols>
  <sheetData>
    <row r="2" spans="2:14" x14ac:dyDescent="0.3"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J2" s="6"/>
      <c r="L2" s="4">
        <f ca="1">TODAY()</f>
        <v>46322</v>
      </c>
      <c r="M2" s="5">
        <v>45689</v>
      </c>
      <c r="N2">
        <f ca="1">L2-M2</f>
        <v>633</v>
      </c>
    </row>
    <row r="3" spans="2:14" x14ac:dyDescent="0.3">
      <c r="B3" s="1">
        <v>101</v>
      </c>
      <c r="C3" s="1" t="s">
        <v>72</v>
      </c>
      <c r="D3" s="1" t="s">
        <v>73</v>
      </c>
      <c r="E3" s="1">
        <v>10</v>
      </c>
      <c r="F3" s="1">
        <v>15</v>
      </c>
      <c r="G3" s="5">
        <v>45658</v>
      </c>
      <c r="H3" s="1" t="s">
        <v>74</v>
      </c>
      <c r="L3" s="22">
        <f ca="1">NOW()</f>
        <v>46322.513008333335</v>
      </c>
    </row>
    <row r="4" spans="2:14" x14ac:dyDescent="0.3">
      <c r="B4" s="1">
        <v>102</v>
      </c>
      <c r="C4" s="1" t="s">
        <v>75</v>
      </c>
      <c r="D4" s="1" t="s">
        <v>73</v>
      </c>
      <c r="E4" s="1">
        <v>5</v>
      </c>
      <c r="F4" s="1">
        <v>50</v>
      </c>
      <c r="G4" s="5">
        <v>45689</v>
      </c>
      <c r="H4" s="1" t="s">
        <v>76</v>
      </c>
      <c r="L4" s="10"/>
    </row>
    <row r="5" spans="2:14" x14ac:dyDescent="0.3">
      <c r="B5" s="1">
        <v>103</v>
      </c>
      <c r="C5" s="1" t="s">
        <v>77</v>
      </c>
      <c r="D5" s="1" t="s">
        <v>78</v>
      </c>
      <c r="E5" s="1">
        <v>2</v>
      </c>
      <c r="F5" s="1">
        <v>500</v>
      </c>
      <c r="G5" s="5">
        <v>45717</v>
      </c>
      <c r="H5" s="1" t="s">
        <v>79</v>
      </c>
    </row>
    <row r="6" spans="2:14" x14ac:dyDescent="0.3">
      <c r="B6" s="1">
        <v>104</v>
      </c>
      <c r="C6" s="1" t="s">
        <v>80</v>
      </c>
      <c r="D6" s="1" t="s">
        <v>78</v>
      </c>
      <c r="E6" s="1">
        <v>3</v>
      </c>
      <c r="F6" s="1">
        <v>800</v>
      </c>
      <c r="G6" s="5">
        <v>45748</v>
      </c>
      <c r="H6" s="1" t="s">
        <v>81</v>
      </c>
      <c r="K6" s="4">
        <f ca="1">TODAY()</f>
        <v>46322</v>
      </c>
      <c r="L6" s="5">
        <v>45658</v>
      </c>
      <c r="M6">
        <f ca="1">K6-L6</f>
        <v>664</v>
      </c>
    </row>
    <row r="7" spans="2:14" x14ac:dyDescent="0.3">
      <c r="B7" s="1">
        <v>105</v>
      </c>
      <c r="C7" s="1" t="s">
        <v>82</v>
      </c>
      <c r="D7" s="1" t="s">
        <v>83</v>
      </c>
      <c r="E7" s="1">
        <v>4</v>
      </c>
      <c r="F7" s="1">
        <v>120</v>
      </c>
      <c r="G7" s="5">
        <v>45778</v>
      </c>
      <c r="H7" s="1" t="s">
        <v>84</v>
      </c>
    </row>
    <row r="8" spans="2:14" x14ac:dyDescent="0.3">
      <c r="B8" s="1">
        <v>106</v>
      </c>
      <c r="C8" s="1" t="s">
        <v>72</v>
      </c>
      <c r="D8" s="1" t="s">
        <v>73</v>
      </c>
      <c r="E8" s="1">
        <v>20</v>
      </c>
      <c r="F8" s="1">
        <v>15</v>
      </c>
      <c r="G8" s="5">
        <v>45809</v>
      </c>
      <c r="H8" s="1" t="s">
        <v>85</v>
      </c>
      <c r="L8" s="42">
        <f ca="1">NOW()</f>
        <v>46322.513008333335</v>
      </c>
    </row>
    <row r="9" spans="2:14" x14ac:dyDescent="0.3">
      <c r="B9" s="1">
        <v>107</v>
      </c>
      <c r="C9" s="1" t="s">
        <v>75</v>
      </c>
      <c r="D9" s="1" t="s">
        <v>73</v>
      </c>
      <c r="E9" s="1">
        <v>7</v>
      </c>
      <c r="F9" s="1">
        <v>50</v>
      </c>
      <c r="G9" s="5">
        <v>45839</v>
      </c>
      <c r="H9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🔹 ALL FORMULAS</vt:lpstr>
      <vt:lpstr>🔹 1. SUM</vt:lpstr>
      <vt:lpstr>🔹 2. AVERAGE</vt:lpstr>
      <vt:lpstr>🔹 3. COUNT - COUNTA</vt:lpstr>
      <vt:lpstr>🔹 4. MIN - MAX</vt:lpstr>
      <vt:lpstr>🔹 5. IF</vt:lpstr>
      <vt:lpstr>🔹 6. SUMIF - COUNTIF</vt:lpstr>
      <vt:lpstr>🔹 7. CONCAT - TEXTJOIN</vt:lpstr>
      <vt:lpstr>🔹 8. VLOOKUP - XLOOKUP</vt:lpstr>
      <vt:lpstr>Sheet4</vt:lpstr>
      <vt:lpstr>Sheet2</vt:lpstr>
      <vt:lpstr>🔹 9. LEFT - RIGHT</vt:lpstr>
      <vt:lpstr>🔹 10. LEN &amp; TRIM</vt:lpstr>
      <vt:lpstr>🔹 11. TODAY -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sudhanshuyadav1231@outlook.com</cp:lastModifiedBy>
  <cp:revision/>
  <dcterms:created xsi:type="dcterms:W3CDTF">2025-07-11T16:45:34Z</dcterms:created>
  <dcterms:modified xsi:type="dcterms:W3CDTF">2026-10-27T06:56:12Z</dcterms:modified>
  <cp:category/>
  <cp:contentStatus/>
</cp:coreProperties>
</file>