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defaultThemeVersion="166925"/>
  <mc:AlternateContent xmlns:mc="http://schemas.openxmlformats.org/markup-compatibility/2006">
    <mc:Choice Requires="x15">
      <x15ac:absPath xmlns:x15ac="http://schemas.microsoft.com/office/spreadsheetml/2010/11/ac" url="C:\Users\sudha\Downloads\"/>
    </mc:Choice>
  </mc:AlternateContent>
  <xr:revisionPtr revIDLastSave="0" documentId="13_ncr:1_{0CA5E699-DDD4-48CE-99D8-A4A24E627B9B}" xr6:coauthVersionLast="47" xr6:coauthVersionMax="47" xr10:uidLastSave="{00000000-0000-0000-0000-000000000000}"/>
  <bookViews>
    <workbookView xWindow="-108" yWindow="-108" windowWidth="23256" windowHeight="13176" firstSheet="1" activeTab="1" xr2:uid="{00000000-000D-0000-FFFF-FFFF00000000}"/>
  </bookViews>
  <sheets>
    <sheet name="bike_buyers" sheetId="1" r:id="rId1"/>
    <sheet name="PIVOT TABLE" sheetId="3" r:id="rId2"/>
    <sheet name="CLEANING DATA" sheetId="2" r:id="rId3"/>
  </sheets>
  <definedNames>
    <definedName name="_xlnm._FilterDatabase" localSheetId="0" hidden="1">bike_buyers!$A$1:$M$1001</definedName>
    <definedName name="_xlnm._FilterDatabase" localSheetId="2" hidden="1">'CLEANING DATA'!$C$1:$P$1001</definedName>
    <definedName name="Slicer_Education">#N/A</definedName>
    <definedName name="Slicer_Marital_Status">#N/A</definedName>
    <definedName name="Slicer_Region">#N/A</definedName>
  </definedNames>
  <calcPr calcId="191029"/>
  <pivotCaches>
    <pivotCache cacheId="54"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8" i="2" l="1" a="1"/>
  <c r="O9" i="2" a="1"/>
  <c r="O10" i="2" a="1"/>
  <c r="O11" i="2" a="1"/>
  <c r="O12" i="2" a="1"/>
  <c r="O13" i="2" a="1"/>
  <c r="O14" i="2" a="1"/>
  <c r="O15" i="2" a="1"/>
  <c r="O16" i="2" a="1"/>
  <c r="O17" i="2" a="1"/>
  <c r="O18" i="2" a="1"/>
  <c r="O19" i="2" a="1"/>
  <c r="O20" i="2" a="1"/>
  <c r="O21" i="2" a="1"/>
  <c r="O22" i="2" a="1"/>
  <c r="O23" i="2" a="1"/>
  <c r="O24" i="2" a="1"/>
  <c r="O25" i="2" a="1"/>
  <c r="O26" i="2" a="1"/>
  <c r="O27" i="2" a="1"/>
  <c r="O28" i="2" a="1"/>
  <c r="O29" i="2" a="1"/>
  <c r="O30" i="2" a="1"/>
  <c r="O31" i="2" a="1"/>
  <c r="O32" i="2" a="1"/>
  <c r="O33" i="2" a="1"/>
  <c r="O34" i="2" a="1"/>
  <c r="O35" i="2" a="1"/>
  <c r="O36" i="2" a="1"/>
  <c r="O37" i="2" a="1"/>
  <c r="O38" i="2" a="1"/>
  <c r="O39" i="2" a="1"/>
  <c r="O40" i="2" a="1"/>
  <c r="O41" i="2" a="1"/>
  <c r="O42" i="2" a="1"/>
  <c r="O43" i="2" a="1"/>
  <c r="O44" i="2" a="1"/>
  <c r="O45" i="2" a="1"/>
  <c r="O46" i="2" a="1"/>
  <c r="O47" i="2" a="1"/>
  <c r="O48" i="2" a="1"/>
  <c r="O49" i="2" a="1"/>
  <c r="O50" i="2" a="1"/>
  <c r="O51" i="2" a="1"/>
  <c r="O52" i="2" a="1"/>
  <c r="O53" i="2" a="1"/>
  <c r="O54" i="2" a="1"/>
  <c r="O55" i="2" a="1"/>
  <c r="O56" i="2" a="1"/>
  <c r="O57" i="2" a="1"/>
  <c r="O58" i="2" a="1"/>
  <c r="O59" i="2" a="1"/>
  <c r="O60" i="2" a="1"/>
  <c r="O61" i="2" a="1"/>
  <c r="O62" i="2" a="1"/>
  <c r="O63" i="2" a="1"/>
  <c r="O64" i="2" a="1"/>
  <c r="O65" i="2" a="1"/>
  <c r="O66" i="2" a="1"/>
  <c r="O67" i="2" a="1"/>
  <c r="O68" i="2" a="1"/>
  <c r="O69" i="2" a="1"/>
  <c r="O70" i="2" a="1"/>
  <c r="O71" i="2" a="1"/>
  <c r="O72" i="2" a="1"/>
  <c r="O73" i="2" a="1"/>
  <c r="O74" i="2" a="1"/>
  <c r="O75" i="2" a="1"/>
  <c r="O76" i="2" a="1"/>
  <c r="O77" i="2" a="1"/>
  <c r="O78" i="2" a="1"/>
  <c r="O79" i="2" a="1"/>
  <c r="O80" i="2" a="1"/>
  <c r="O81" i="2" a="1"/>
  <c r="O82" i="2" a="1"/>
  <c r="O83" i="2" a="1"/>
  <c r="O84" i="2" a="1"/>
  <c r="O85" i="2" a="1"/>
  <c r="O86" i="2" a="1"/>
  <c r="O87" i="2" a="1"/>
  <c r="O88" i="2" a="1"/>
  <c r="O89" i="2" a="1"/>
  <c r="O90" i="2" a="1"/>
  <c r="O91" i="2" a="1"/>
  <c r="O92" i="2" a="1"/>
  <c r="O93" i="2" a="1"/>
  <c r="O94" i="2" a="1"/>
  <c r="O95" i="2" a="1"/>
  <c r="O96" i="2" a="1"/>
  <c r="O97" i="2" a="1"/>
  <c r="O98" i="2" a="1"/>
  <c r="O99" i="2" a="1"/>
  <c r="O100" i="2" a="1"/>
  <c r="O101" i="2" a="1"/>
  <c r="O102" i="2" a="1"/>
  <c r="O103" i="2" a="1"/>
  <c r="O104" i="2" a="1"/>
  <c r="O105" i="2" a="1"/>
  <c r="O106" i="2" a="1"/>
  <c r="O107" i="2" a="1"/>
  <c r="O108" i="2" a="1"/>
  <c r="O109" i="2" a="1"/>
  <c r="O110" i="2" a="1"/>
  <c r="O111" i="2" a="1"/>
  <c r="O112" i="2" a="1"/>
  <c r="O113" i="2" a="1"/>
  <c r="O114" i="2" a="1"/>
  <c r="O115" i="2" a="1"/>
  <c r="O116" i="2" a="1"/>
  <c r="O117" i="2" a="1"/>
  <c r="O118" i="2" a="1"/>
  <c r="O119" i="2" a="1"/>
  <c r="O120" i="2" a="1"/>
  <c r="O121" i="2" a="1"/>
  <c r="O122" i="2" a="1"/>
  <c r="O123" i="2" a="1"/>
  <c r="O124" i="2" a="1"/>
  <c r="O125" i="2" a="1"/>
  <c r="O126" i="2" a="1"/>
  <c r="O127" i="2" a="1"/>
  <c r="O128" i="2" a="1"/>
  <c r="O129" i="2" a="1"/>
  <c r="O130" i="2" a="1"/>
  <c r="O131" i="2" a="1"/>
  <c r="O132" i="2" a="1"/>
  <c r="O133" i="2" a="1"/>
  <c r="O134" i="2" a="1"/>
  <c r="O135" i="2" a="1"/>
  <c r="O136" i="2" a="1"/>
  <c r="O137" i="2" a="1"/>
  <c r="O138" i="2" a="1"/>
  <c r="O139" i="2" a="1"/>
  <c r="O140" i="2" a="1"/>
  <c r="O141" i="2" a="1"/>
  <c r="O142" i="2" a="1"/>
  <c r="O143" i="2" a="1"/>
  <c r="O144" i="2" a="1"/>
  <c r="O145" i="2" a="1"/>
  <c r="O146" i="2" a="1"/>
  <c r="O147" i="2" a="1"/>
  <c r="O148" i="2" a="1"/>
  <c r="O149" i="2" a="1"/>
  <c r="O150" i="2" a="1"/>
  <c r="O151" i="2" a="1"/>
  <c r="O152" i="2" a="1"/>
  <c r="O153" i="2" a="1"/>
  <c r="O154" i="2" a="1"/>
  <c r="O155" i="2" a="1"/>
  <c r="O156" i="2" a="1"/>
  <c r="O157" i="2" a="1"/>
  <c r="O158" i="2" a="1"/>
  <c r="O159" i="2" a="1"/>
  <c r="O160" i="2" a="1"/>
  <c r="O161" i="2" a="1"/>
  <c r="O162" i="2" a="1"/>
  <c r="O163" i="2" a="1"/>
  <c r="O164" i="2" a="1"/>
  <c r="O165" i="2" a="1"/>
  <c r="O166" i="2" a="1"/>
  <c r="O167" i="2" a="1"/>
  <c r="O168" i="2" a="1"/>
  <c r="O169" i="2" a="1"/>
  <c r="O170" i="2" a="1"/>
  <c r="O171" i="2" a="1"/>
  <c r="O172" i="2" a="1"/>
  <c r="O173" i="2" a="1"/>
  <c r="O174" i="2" a="1"/>
  <c r="O175" i="2" a="1"/>
  <c r="O176" i="2" a="1"/>
  <c r="O177" i="2" a="1"/>
  <c r="O178" i="2" a="1"/>
  <c r="O179" i="2" a="1"/>
  <c r="O180" i="2" a="1"/>
  <c r="O181" i="2" a="1"/>
  <c r="O182" i="2" a="1"/>
  <c r="O183" i="2" a="1"/>
  <c r="O184" i="2" a="1"/>
  <c r="O185" i="2" a="1"/>
  <c r="O186" i="2" a="1"/>
  <c r="O187" i="2" a="1"/>
  <c r="O188" i="2" a="1"/>
  <c r="O189" i="2" a="1"/>
  <c r="O190" i="2" a="1"/>
  <c r="O191" i="2" a="1"/>
  <c r="O192" i="2" a="1"/>
  <c r="O193" i="2" a="1"/>
  <c r="O194" i="2" a="1"/>
  <c r="O195" i="2" a="1"/>
  <c r="O196" i="2" a="1"/>
  <c r="O197" i="2" a="1"/>
  <c r="O198" i="2" a="1"/>
  <c r="O199" i="2" a="1"/>
  <c r="O200" i="2" a="1"/>
  <c r="O201" i="2" a="1"/>
  <c r="O202" i="2" a="1"/>
  <c r="O203" i="2" a="1"/>
  <c r="O204" i="2" a="1"/>
  <c r="O205" i="2" a="1"/>
  <c r="O206" i="2" a="1"/>
  <c r="O207" i="2" a="1"/>
  <c r="O208" i="2" a="1"/>
  <c r="O209" i="2" a="1"/>
  <c r="O210" i="2" a="1"/>
  <c r="O211" i="2" a="1"/>
  <c r="O212" i="2" a="1"/>
  <c r="O213" i="2" a="1"/>
  <c r="O214" i="2" a="1"/>
  <c r="O215" i="2" a="1"/>
  <c r="O216" i="2" a="1"/>
  <c r="O217" i="2" a="1"/>
  <c r="O218" i="2" a="1"/>
  <c r="O219" i="2" a="1"/>
  <c r="O220" i="2" a="1"/>
  <c r="O221" i="2" a="1"/>
  <c r="O222" i="2" a="1"/>
  <c r="O223" i="2" a="1"/>
  <c r="O224" i="2" a="1"/>
  <c r="O225" i="2" a="1"/>
  <c r="O226" i="2" a="1"/>
  <c r="O227" i="2" a="1"/>
  <c r="O228" i="2" a="1"/>
  <c r="O229" i="2" a="1"/>
  <c r="O230" i="2" a="1"/>
  <c r="O231" i="2" a="1"/>
  <c r="O232" i="2" a="1"/>
  <c r="O233" i="2" a="1"/>
  <c r="O234" i="2" a="1"/>
  <c r="O235" i="2" a="1"/>
  <c r="O236" i="2" a="1"/>
  <c r="O237" i="2" a="1"/>
  <c r="O238" i="2" a="1"/>
  <c r="O239" i="2" a="1"/>
  <c r="O240" i="2" a="1"/>
  <c r="O241" i="2" a="1"/>
  <c r="O242" i="2" a="1"/>
  <c r="O243" i="2" a="1"/>
  <c r="O244" i="2" a="1"/>
  <c r="O245" i="2" a="1"/>
  <c r="O246" i="2" a="1"/>
  <c r="O247" i="2" a="1"/>
  <c r="O248" i="2" a="1"/>
  <c r="O249" i="2" a="1"/>
  <c r="O250" i="2" a="1"/>
  <c r="O251" i="2" a="1"/>
  <c r="O252" i="2" a="1"/>
  <c r="O253" i="2" a="1"/>
  <c r="O254" i="2" a="1"/>
  <c r="O255" i="2" a="1"/>
  <c r="O256" i="2" a="1"/>
  <c r="O257" i="2" a="1"/>
  <c r="O258" i="2" a="1"/>
  <c r="O259" i="2" a="1"/>
  <c r="O260" i="2" a="1"/>
  <c r="O261" i="2" a="1"/>
  <c r="O262" i="2" a="1"/>
  <c r="O263" i="2" a="1"/>
  <c r="O264" i="2" a="1"/>
  <c r="O265" i="2" a="1"/>
  <c r="O266" i="2" a="1"/>
  <c r="O267" i="2" a="1"/>
  <c r="O268" i="2" a="1"/>
  <c r="O269" i="2" a="1"/>
  <c r="O270" i="2" a="1"/>
  <c r="O271" i="2" a="1"/>
  <c r="O272" i="2" a="1"/>
  <c r="O273" i="2" a="1"/>
  <c r="O274" i="2" a="1"/>
  <c r="O275" i="2" a="1"/>
  <c r="O276" i="2" a="1"/>
  <c r="O277" i="2" a="1"/>
  <c r="O278" i="2" a="1"/>
  <c r="O279" i="2" a="1"/>
  <c r="O280" i="2" a="1"/>
  <c r="O281" i="2" a="1"/>
  <c r="O282" i="2" a="1"/>
  <c r="O283" i="2" a="1"/>
  <c r="O284" i="2" a="1"/>
  <c r="O285" i="2" a="1"/>
  <c r="O286" i="2" a="1"/>
  <c r="O287" i="2" a="1"/>
  <c r="O288" i="2" a="1"/>
  <c r="O289" i="2" a="1"/>
  <c r="O290" i="2" a="1"/>
  <c r="O291" i="2" a="1"/>
  <c r="O292" i="2" a="1"/>
  <c r="O293" i="2" a="1"/>
  <c r="O294" i="2" a="1"/>
  <c r="O295" i="2" a="1"/>
  <c r="O296" i="2" a="1"/>
  <c r="O297" i="2" a="1"/>
  <c r="O298" i="2" a="1"/>
  <c r="O299" i="2" a="1"/>
  <c r="O300" i="2" a="1"/>
  <c r="O301" i="2" a="1"/>
  <c r="O302" i="2" a="1"/>
  <c r="O303" i="2" a="1"/>
  <c r="O304" i="2" a="1"/>
  <c r="O305" i="2" a="1"/>
  <c r="O306" i="2" a="1"/>
  <c r="O307" i="2" a="1"/>
  <c r="O308" i="2" a="1"/>
  <c r="O309" i="2" a="1"/>
  <c r="O310" i="2" a="1"/>
  <c r="O311" i="2" a="1"/>
  <c r="O312" i="2" a="1"/>
  <c r="O313" i="2" a="1"/>
  <c r="O314" i="2" a="1"/>
  <c r="O315" i="2" a="1"/>
  <c r="O316" i="2" a="1"/>
  <c r="O317" i="2" a="1"/>
  <c r="O318" i="2" a="1"/>
  <c r="O319" i="2" a="1"/>
  <c r="O320" i="2" a="1"/>
  <c r="O321" i="2" a="1"/>
  <c r="O322" i="2" a="1"/>
  <c r="O323" i="2" a="1"/>
  <c r="O324" i="2" a="1"/>
  <c r="O325" i="2" a="1"/>
  <c r="O326" i="2" a="1"/>
  <c r="O327" i="2" a="1"/>
  <c r="O328" i="2" a="1"/>
  <c r="O329" i="2" a="1"/>
  <c r="O330" i="2" a="1"/>
  <c r="O331" i="2" a="1"/>
  <c r="O332" i="2" a="1"/>
  <c r="O333" i="2" a="1"/>
  <c r="O334" i="2" a="1"/>
  <c r="O335" i="2" a="1"/>
  <c r="O336" i="2" a="1"/>
  <c r="O337" i="2" a="1"/>
  <c r="O338" i="2" a="1"/>
  <c r="O339" i="2" a="1"/>
  <c r="O340" i="2" a="1"/>
  <c r="O341" i="2" a="1"/>
  <c r="O342" i="2" a="1"/>
  <c r="O343" i="2" a="1"/>
  <c r="O344" i="2" a="1"/>
  <c r="O345" i="2" a="1"/>
  <c r="O346" i="2" a="1"/>
  <c r="O347" i="2" a="1"/>
  <c r="O348" i="2" a="1"/>
  <c r="O349" i="2" a="1"/>
  <c r="O350" i="2" a="1"/>
  <c r="O351" i="2" a="1"/>
  <c r="O352" i="2" a="1"/>
  <c r="O353" i="2" a="1"/>
  <c r="O354" i="2" a="1"/>
  <c r="O355" i="2" a="1"/>
  <c r="O356" i="2" a="1"/>
  <c r="O357" i="2" a="1"/>
  <c r="O358" i="2" a="1"/>
  <c r="O359" i="2" a="1"/>
  <c r="O360" i="2" a="1"/>
  <c r="O361" i="2" a="1"/>
  <c r="O362" i="2" a="1"/>
  <c r="O363" i="2" a="1"/>
  <c r="O364" i="2" a="1"/>
  <c r="O365" i="2" a="1"/>
  <c r="O366" i="2" a="1"/>
  <c r="O367" i="2" a="1"/>
  <c r="O368" i="2" a="1"/>
  <c r="O369" i="2" a="1"/>
  <c r="O370" i="2" a="1"/>
  <c r="O371" i="2" a="1"/>
  <c r="O372" i="2" a="1"/>
  <c r="O373" i="2" a="1"/>
  <c r="O374" i="2" a="1"/>
  <c r="O375" i="2" a="1"/>
  <c r="O376" i="2" a="1"/>
  <c r="O377" i="2" a="1"/>
  <c r="O378" i="2" a="1"/>
  <c r="O379" i="2" a="1"/>
  <c r="O380" i="2" a="1"/>
  <c r="O381" i="2" a="1"/>
  <c r="O382" i="2" a="1"/>
  <c r="O383" i="2" a="1"/>
  <c r="O384" i="2" a="1"/>
  <c r="O385" i="2" a="1"/>
  <c r="O386" i="2" a="1"/>
  <c r="O387" i="2" a="1"/>
  <c r="O388" i="2" a="1"/>
  <c r="O389" i="2" a="1"/>
  <c r="O390" i="2" a="1"/>
  <c r="O391" i="2" a="1"/>
  <c r="O392" i="2" a="1"/>
  <c r="O393" i="2" a="1"/>
  <c r="O394" i="2" a="1"/>
  <c r="O395" i="2" a="1"/>
  <c r="O396" i="2" a="1"/>
  <c r="O397" i="2" a="1"/>
  <c r="O398" i="2" a="1"/>
  <c r="O399" i="2" a="1"/>
  <c r="O400" i="2" a="1"/>
  <c r="O401" i="2" a="1"/>
  <c r="O402" i="2" a="1"/>
  <c r="O403" i="2" a="1"/>
  <c r="O404" i="2" a="1"/>
  <c r="O405" i="2" a="1"/>
  <c r="O406" i="2" a="1"/>
  <c r="O407" i="2" a="1"/>
  <c r="O408" i="2" a="1"/>
  <c r="O409" i="2" a="1"/>
  <c r="O410" i="2" a="1"/>
  <c r="O411" i="2" a="1"/>
  <c r="O412" i="2" a="1"/>
  <c r="O413" i="2" a="1"/>
  <c r="O414" i="2" a="1"/>
  <c r="O415" i="2" a="1"/>
  <c r="O416" i="2" a="1"/>
  <c r="O417" i="2" a="1"/>
  <c r="O418" i="2" a="1"/>
  <c r="O419" i="2" a="1"/>
  <c r="O420" i="2" a="1"/>
  <c r="O421" i="2" a="1"/>
  <c r="O422" i="2" a="1"/>
  <c r="O423" i="2" a="1"/>
  <c r="O424" i="2" a="1"/>
  <c r="O425" i="2" a="1"/>
  <c r="O426" i="2" a="1"/>
  <c r="O427" i="2" a="1"/>
  <c r="O428" i="2" a="1"/>
  <c r="O429" i="2" a="1"/>
  <c r="O430" i="2" a="1"/>
  <c r="O431" i="2" a="1"/>
  <c r="O432" i="2" a="1"/>
  <c r="O433" i="2" a="1"/>
  <c r="O434" i="2" a="1"/>
  <c r="O435" i="2" a="1"/>
  <c r="O436" i="2" a="1"/>
  <c r="O437" i="2" a="1"/>
  <c r="O438" i="2" a="1"/>
  <c r="O439" i="2" a="1"/>
  <c r="O440" i="2" a="1"/>
  <c r="O441" i="2" a="1"/>
  <c r="O442" i="2" a="1"/>
  <c r="O443" i="2" a="1"/>
  <c r="O444" i="2" a="1"/>
  <c r="O445" i="2" a="1"/>
  <c r="O446" i="2" a="1"/>
  <c r="O447" i="2" a="1"/>
  <c r="O448" i="2" a="1"/>
  <c r="O449" i="2" a="1"/>
  <c r="O450" i="2" a="1"/>
  <c r="O451" i="2" a="1"/>
  <c r="O452" i="2" a="1"/>
  <c r="O453" i="2" a="1"/>
  <c r="O454" i="2" a="1"/>
  <c r="O455" i="2" a="1"/>
  <c r="O456" i="2" a="1"/>
  <c r="O457" i="2" a="1"/>
  <c r="O458" i="2" a="1"/>
  <c r="O459" i="2" a="1"/>
  <c r="O460" i="2" a="1"/>
  <c r="O461" i="2" a="1"/>
  <c r="O462" i="2" a="1"/>
  <c r="O463" i="2" a="1"/>
  <c r="O464" i="2" a="1"/>
  <c r="O465" i="2" a="1"/>
  <c r="O466" i="2" a="1"/>
  <c r="O467" i="2" a="1"/>
  <c r="O468" i="2" a="1"/>
  <c r="O469" i="2" a="1"/>
  <c r="O470" i="2" a="1"/>
  <c r="O471" i="2" a="1"/>
  <c r="O472" i="2" a="1"/>
  <c r="O473" i="2" a="1"/>
  <c r="O474" i="2" a="1"/>
  <c r="O475" i="2" a="1"/>
  <c r="O476" i="2" a="1"/>
  <c r="O477" i="2" a="1"/>
  <c r="O478" i="2" a="1"/>
  <c r="O479" i="2" a="1"/>
  <c r="O480" i="2" a="1"/>
  <c r="O481" i="2" a="1"/>
  <c r="O482" i="2" a="1"/>
  <c r="O483" i="2" a="1"/>
  <c r="O484" i="2" a="1"/>
  <c r="O485" i="2" a="1"/>
  <c r="O486" i="2" a="1"/>
  <c r="O487" i="2" a="1"/>
  <c r="O488" i="2" a="1"/>
  <c r="O489" i="2" a="1"/>
  <c r="O490" i="2" a="1"/>
  <c r="O491" i="2" a="1"/>
  <c r="O492" i="2" a="1"/>
  <c r="O493" i="2" a="1"/>
  <c r="O494" i="2" a="1"/>
  <c r="O495" i="2" a="1"/>
  <c r="O496" i="2" a="1"/>
  <c r="O497" i="2" a="1"/>
  <c r="O498" i="2" a="1"/>
  <c r="O499" i="2" a="1"/>
  <c r="O500" i="2" a="1"/>
  <c r="O501" i="2" a="1"/>
  <c r="O502" i="2" a="1"/>
  <c r="O503" i="2" a="1"/>
  <c r="O504" i="2" a="1"/>
  <c r="O505" i="2" a="1"/>
  <c r="O506" i="2" a="1"/>
  <c r="O507" i="2" a="1"/>
  <c r="O508" i="2" a="1"/>
  <c r="O509" i="2" a="1"/>
  <c r="O510" i="2" a="1"/>
  <c r="O511" i="2" a="1"/>
  <c r="O512" i="2" a="1"/>
  <c r="O513" i="2" a="1"/>
  <c r="O514" i="2" a="1"/>
  <c r="O515" i="2" a="1"/>
  <c r="O516" i="2" a="1"/>
  <c r="O517" i="2" a="1"/>
  <c r="O518" i="2" a="1"/>
  <c r="O519" i="2" a="1"/>
  <c r="O520" i="2" a="1"/>
  <c r="O521" i="2" a="1"/>
  <c r="O522" i="2" a="1"/>
  <c r="O523" i="2" a="1"/>
  <c r="O524" i="2" a="1"/>
  <c r="O525" i="2" a="1"/>
  <c r="O526" i="2" a="1"/>
  <c r="O527" i="2" a="1"/>
  <c r="O528" i="2" a="1"/>
  <c r="O529" i="2" a="1"/>
  <c r="O530" i="2" a="1"/>
  <c r="O531" i="2" a="1"/>
  <c r="O532" i="2" a="1"/>
  <c r="O533" i="2" a="1"/>
  <c r="O534" i="2" a="1"/>
  <c r="O535" i="2" a="1"/>
  <c r="O536" i="2" a="1"/>
  <c r="O537" i="2" a="1"/>
  <c r="O538" i="2" a="1"/>
  <c r="O539" i="2" a="1"/>
  <c r="O540" i="2" a="1"/>
  <c r="O541" i="2" a="1"/>
  <c r="O542" i="2" a="1"/>
  <c r="O543" i="2" a="1"/>
  <c r="O544" i="2" a="1"/>
  <c r="O545" i="2" a="1"/>
  <c r="O546" i="2" a="1"/>
  <c r="O547" i="2" a="1"/>
  <c r="O548" i="2" a="1"/>
  <c r="O549" i="2" a="1"/>
  <c r="O550" i="2" a="1"/>
  <c r="O551" i="2" a="1"/>
  <c r="O552" i="2" a="1"/>
  <c r="O553" i="2" a="1"/>
  <c r="O554" i="2" a="1"/>
  <c r="O555" i="2" a="1"/>
  <c r="O556" i="2" a="1"/>
  <c r="O557" i="2" a="1"/>
  <c r="O558" i="2" a="1"/>
  <c r="O559" i="2" a="1"/>
  <c r="O560" i="2" a="1"/>
  <c r="O561" i="2" a="1"/>
  <c r="O562" i="2" a="1"/>
  <c r="O563" i="2" a="1"/>
  <c r="O564" i="2" a="1"/>
  <c r="O565" i="2" a="1"/>
  <c r="O566" i="2" a="1"/>
  <c r="O567" i="2" a="1"/>
  <c r="O568" i="2" a="1"/>
  <c r="O569" i="2" a="1"/>
  <c r="O570" i="2" a="1"/>
  <c r="O571" i="2" a="1"/>
  <c r="O572" i="2" a="1"/>
  <c r="O573" i="2" a="1"/>
  <c r="O574" i="2" a="1"/>
  <c r="O575" i="2" a="1"/>
  <c r="O576" i="2" a="1"/>
  <c r="O577" i="2" a="1"/>
  <c r="O578" i="2" a="1"/>
  <c r="O579" i="2" a="1"/>
  <c r="O580" i="2" a="1"/>
  <c r="O581" i="2" a="1"/>
  <c r="O582" i="2" a="1"/>
  <c r="O583" i="2" a="1"/>
  <c r="O584" i="2" a="1"/>
  <c r="O585" i="2" a="1"/>
  <c r="O586" i="2" a="1"/>
  <c r="O587" i="2" a="1"/>
  <c r="O588" i="2" a="1"/>
  <c r="O589" i="2" a="1"/>
  <c r="O590" i="2" a="1"/>
  <c r="O591" i="2" a="1"/>
  <c r="O592" i="2" a="1"/>
  <c r="O593" i="2" a="1"/>
  <c r="O594" i="2" a="1"/>
  <c r="O595" i="2" a="1"/>
  <c r="O596" i="2" a="1"/>
  <c r="O597" i="2" a="1"/>
  <c r="O598" i="2" a="1"/>
  <c r="O599" i="2" a="1"/>
  <c r="O600" i="2" a="1"/>
  <c r="O601" i="2" a="1"/>
  <c r="O602" i="2" a="1"/>
  <c r="O603" i="2" a="1"/>
  <c r="O604" i="2" a="1"/>
  <c r="O605" i="2" a="1"/>
  <c r="O606" i="2" a="1"/>
  <c r="O607" i="2" a="1"/>
  <c r="O608" i="2" a="1"/>
  <c r="O609" i="2" a="1"/>
  <c r="O610" i="2" a="1"/>
  <c r="O611" i="2" a="1"/>
  <c r="O612" i="2" a="1"/>
  <c r="O613" i="2" a="1"/>
  <c r="O614" i="2" a="1"/>
  <c r="O615" i="2" a="1"/>
  <c r="O616" i="2" a="1"/>
  <c r="O617" i="2" a="1"/>
  <c r="O618" i="2" a="1"/>
  <c r="O619" i="2" a="1"/>
  <c r="O620" i="2" a="1"/>
  <c r="O621" i="2" a="1"/>
  <c r="O622" i="2" a="1"/>
  <c r="O623" i="2" a="1"/>
  <c r="O624" i="2" a="1"/>
  <c r="O625" i="2" a="1"/>
  <c r="O626" i="2" a="1"/>
  <c r="O627" i="2" a="1"/>
  <c r="O628" i="2" a="1"/>
  <c r="O629" i="2" a="1"/>
  <c r="O630" i="2" a="1"/>
  <c r="O631" i="2" a="1"/>
  <c r="O632" i="2" a="1"/>
  <c r="O633" i="2" a="1"/>
  <c r="O634" i="2" a="1"/>
  <c r="O635" i="2" a="1"/>
  <c r="O636" i="2" a="1"/>
  <c r="O637" i="2" a="1"/>
  <c r="O638" i="2" a="1"/>
  <c r="O639" i="2" a="1"/>
  <c r="O640" i="2" a="1"/>
  <c r="O641" i="2" a="1"/>
  <c r="O642" i="2" a="1"/>
  <c r="O643" i="2" a="1"/>
  <c r="O644" i="2" a="1"/>
  <c r="O645" i="2" a="1"/>
  <c r="O646" i="2" a="1"/>
  <c r="O647" i="2" a="1"/>
  <c r="O648" i="2" a="1"/>
  <c r="O649" i="2" a="1"/>
  <c r="O650" i="2" a="1"/>
  <c r="O651" i="2" a="1"/>
  <c r="O652" i="2" a="1"/>
  <c r="O653" i="2" a="1"/>
  <c r="O654" i="2" a="1"/>
  <c r="O655" i="2" a="1"/>
  <c r="O656" i="2" a="1"/>
  <c r="O657" i="2" a="1"/>
  <c r="O658" i="2" a="1"/>
  <c r="O659" i="2" a="1"/>
  <c r="O660" i="2" a="1"/>
  <c r="O661" i="2" a="1"/>
  <c r="O662" i="2" a="1"/>
  <c r="O663" i="2" a="1"/>
  <c r="O664" i="2" a="1"/>
  <c r="O665" i="2" a="1"/>
  <c r="O666" i="2" a="1"/>
  <c r="O667" i="2" a="1"/>
  <c r="O668" i="2" a="1"/>
  <c r="O669" i="2" a="1"/>
  <c r="O670" i="2" a="1"/>
  <c r="O671" i="2" a="1"/>
  <c r="O672" i="2" a="1"/>
  <c r="O673" i="2" a="1"/>
  <c r="O674" i="2" a="1"/>
  <c r="O675" i="2" a="1"/>
  <c r="O676" i="2" a="1"/>
  <c r="O677" i="2" a="1"/>
  <c r="O678" i="2" a="1"/>
  <c r="O679" i="2" a="1"/>
  <c r="O680" i="2" a="1"/>
  <c r="O681" i="2" a="1"/>
  <c r="O682" i="2" a="1"/>
  <c r="O683" i="2" a="1"/>
  <c r="O684" i="2" a="1"/>
  <c r="O685" i="2" a="1"/>
  <c r="O686" i="2" a="1"/>
  <c r="O687" i="2" a="1"/>
  <c r="O688" i="2" a="1"/>
  <c r="O689" i="2" a="1"/>
  <c r="O690" i="2" a="1"/>
  <c r="O691" i="2" a="1"/>
  <c r="O692" i="2" a="1"/>
  <c r="O693" i="2" a="1"/>
  <c r="O694" i="2" a="1"/>
  <c r="O695" i="2" a="1"/>
  <c r="O696" i="2" a="1"/>
  <c r="O697" i="2" a="1"/>
  <c r="O698" i="2" a="1"/>
  <c r="O699" i="2" a="1"/>
  <c r="O700" i="2" a="1"/>
  <c r="O701" i="2" a="1"/>
  <c r="O702" i="2" a="1"/>
  <c r="O703" i="2" a="1"/>
  <c r="O704" i="2" a="1"/>
  <c r="O705" i="2" a="1"/>
  <c r="O706" i="2" a="1"/>
  <c r="O707" i="2" a="1"/>
  <c r="O708" i="2" a="1"/>
  <c r="O709" i="2" a="1"/>
  <c r="O710" i="2" a="1"/>
  <c r="O711" i="2" a="1"/>
  <c r="O712" i="2" a="1"/>
  <c r="O713" i="2" a="1"/>
  <c r="O714" i="2" a="1"/>
  <c r="O715" i="2" a="1"/>
  <c r="O716" i="2" a="1"/>
  <c r="O717" i="2" a="1"/>
  <c r="O718" i="2" a="1"/>
  <c r="O719" i="2" a="1"/>
  <c r="O720" i="2" a="1"/>
  <c r="O721" i="2" a="1"/>
  <c r="O722" i="2" a="1"/>
  <c r="O723" i="2" a="1"/>
  <c r="O724" i="2" a="1"/>
  <c r="O725" i="2" a="1"/>
  <c r="O726" i="2" a="1"/>
  <c r="O727" i="2" a="1"/>
  <c r="O728" i="2" a="1"/>
  <c r="O729" i="2" a="1"/>
  <c r="O730" i="2" a="1"/>
  <c r="O731" i="2" a="1"/>
  <c r="O732" i="2" a="1"/>
  <c r="O733" i="2" a="1"/>
  <c r="O734" i="2" a="1"/>
  <c r="O735" i="2" a="1"/>
  <c r="O736" i="2" a="1"/>
  <c r="O737" i="2" a="1"/>
  <c r="O738" i="2" a="1"/>
  <c r="O739" i="2" a="1"/>
  <c r="O740" i="2" a="1"/>
  <c r="O741" i="2" a="1"/>
  <c r="O742" i="2" a="1"/>
  <c r="O743" i="2" a="1"/>
  <c r="O744" i="2" a="1"/>
  <c r="O745" i="2" a="1"/>
  <c r="O746" i="2" a="1"/>
  <c r="O747" i="2" a="1"/>
  <c r="O748" i="2" a="1"/>
  <c r="O749" i="2" a="1"/>
  <c r="O750" i="2" a="1"/>
  <c r="O751" i="2" a="1"/>
  <c r="O752" i="2" a="1"/>
  <c r="O753" i="2" a="1"/>
  <c r="O754" i="2" a="1"/>
  <c r="O755" i="2" a="1"/>
  <c r="O756" i="2" a="1"/>
  <c r="O757" i="2" a="1"/>
  <c r="O758" i="2" a="1"/>
  <c r="O759" i="2" a="1"/>
  <c r="O760" i="2" a="1"/>
  <c r="O761" i="2" a="1"/>
  <c r="O762" i="2" a="1"/>
  <c r="O763" i="2" a="1"/>
  <c r="O764" i="2" a="1"/>
  <c r="O765" i="2" a="1"/>
  <c r="O766" i="2" a="1"/>
  <c r="O767" i="2" a="1"/>
  <c r="O768" i="2" a="1"/>
  <c r="O769" i="2" a="1"/>
  <c r="O770" i="2" a="1"/>
  <c r="O771" i="2" a="1"/>
  <c r="O772" i="2" a="1"/>
  <c r="O773" i="2" a="1"/>
  <c r="O774" i="2" a="1"/>
  <c r="O775" i="2" a="1"/>
  <c r="O776" i="2" a="1"/>
  <c r="O777" i="2" a="1"/>
  <c r="O778" i="2" a="1"/>
  <c r="O779" i="2" a="1"/>
  <c r="O780" i="2" a="1"/>
  <c r="O781" i="2" a="1"/>
  <c r="O782" i="2" a="1"/>
  <c r="O783" i="2" a="1"/>
  <c r="O784" i="2" a="1"/>
  <c r="O785" i="2" a="1"/>
  <c r="O786" i="2" a="1"/>
  <c r="O787" i="2" a="1"/>
  <c r="O788" i="2" a="1"/>
  <c r="O789" i="2" a="1"/>
  <c r="O790" i="2" a="1"/>
  <c r="O791" i="2" a="1"/>
  <c r="O792" i="2" a="1"/>
  <c r="O793" i="2" a="1"/>
  <c r="O794" i="2" a="1"/>
  <c r="O795" i="2" a="1"/>
  <c r="O796" i="2" a="1"/>
  <c r="O797" i="2" a="1"/>
  <c r="O798" i="2" a="1"/>
  <c r="O799" i="2" a="1"/>
  <c r="O800" i="2" a="1"/>
  <c r="O801" i="2" a="1"/>
  <c r="O802" i="2" a="1"/>
  <c r="O803" i="2" a="1"/>
  <c r="O804" i="2" a="1"/>
  <c r="O805" i="2" a="1"/>
  <c r="O806" i="2" a="1"/>
  <c r="O807" i="2" a="1"/>
  <c r="O808" i="2" a="1"/>
  <c r="O809" i="2" a="1"/>
  <c r="O810" i="2" a="1"/>
  <c r="O811" i="2" a="1"/>
  <c r="O812" i="2" a="1"/>
  <c r="O813" i="2" a="1"/>
  <c r="O814" i="2" a="1"/>
  <c r="O815" i="2" a="1"/>
  <c r="O816" i="2" a="1"/>
  <c r="O817" i="2" a="1"/>
  <c r="O818" i="2" a="1"/>
  <c r="O819" i="2" a="1"/>
  <c r="O820" i="2" a="1"/>
  <c r="O821" i="2" a="1"/>
  <c r="O822" i="2" a="1"/>
  <c r="O823" i="2" a="1"/>
  <c r="O824" i="2" a="1"/>
  <c r="O825" i="2" a="1"/>
  <c r="O826" i="2" a="1"/>
  <c r="O827" i="2" a="1"/>
  <c r="O828" i="2" a="1"/>
  <c r="O829" i="2" a="1"/>
  <c r="O830" i="2" a="1"/>
  <c r="O831" i="2" a="1"/>
  <c r="O832" i="2" a="1"/>
  <c r="O833" i="2" a="1"/>
  <c r="O834" i="2" a="1"/>
  <c r="O835" i="2" a="1"/>
  <c r="O836" i="2" a="1"/>
  <c r="O837" i="2" a="1"/>
  <c r="O838" i="2" a="1"/>
  <c r="O839" i="2" a="1"/>
  <c r="O840" i="2" a="1"/>
  <c r="O841" i="2" a="1"/>
  <c r="O842" i="2" a="1"/>
  <c r="O843" i="2" a="1"/>
  <c r="O844" i="2" a="1"/>
  <c r="O845" i="2" a="1"/>
  <c r="O846" i="2" a="1"/>
  <c r="O847" i="2" a="1"/>
  <c r="O848" i="2" a="1"/>
  <c r="O849" i="2" a="1"/>
  <c r="O850" i="2" a="1"/>
  <c r="O851" i="2" a="1"/>
  <c r="O852" i="2" a="1"/>
  <c r="O853" i="2" a="1"/>
  <c r="O854" i="2" a="1"/>
  <c r="O855" i="2" a="1"/>
  <c r="O856" i="2" a="1"/>
  <c r="O857" i="2" a="1"/>
  <c r="O858" i="2" a="1"/>
  <c r="O859" i="2" a="1"/>
  <c r="O860" i="2" a="1"/>
  <c r="O861" i="2" a="1"/>
  <c r="O862" i="2" a="1"/>
  <c r="O863" i="2" a="1"/>
  <c r="O864" i="2" a="1"/>
  <c r="O865" i="2" a="1"/>
  <c r="O866" i="2" a="1"/>
  <c r="O867" i="2" a="1"/>
  <c r="O868" i="2" a="1"/>
  <c r="O869" i="2" a="1"/>
  <c r="O870" i="2" a="1"/>
  <c r="O871" i="2" a="1"/>
  <c r="O872" i="2" a="1"/>
  <c r="O873" i="2" a="1"/>
  <c r="O874" i="2" a="1"/>
  <c r="O875" i="2" a="1"/>
  <c r="O876" i="2" a="1"/>
  <c r="O877" i="2" a="1"/>
  <c r="O878" i="2" a="1"/>
  <c r="O879" i="2" a="1"/>
  <c r="O880" i="2" a="1"/>
  <c r="O881" i="2" a="1"/>
  <c r="O882" i="2" a="1"/>
  <c r="O883" i="2" a="1"/>
  <c r="O884" i="2" a="1"/>
  <c r="O885" i="2" a="1"/>
  <c r="O886" i="2" a="1"/>
  <c r="O887" i="2" a="1"/>
  <c r="O888" i="2" a="1"/>
  <c r="O889" i="2" a="1"/>
  <c r="O890" i="2" a="1"/>
  <c r="O891" i="2" a="1"/>
  <c r="O892" i="2" a="1"/>
  <c r="O893" i="2" a="1"/>
  <c r="O894" i="2" a="1"/>
  <c r="O895" i="2" a="1"/>
  <c r="O896" i="2" a="1"/>
  <c r="O897" i="2" a="1"/>
  <c r="O898" i="2" a="1"/>
  <c r="O899" i="2" a="1"/>
  <c r="O900" i="2" a="1"/>
  <c r="O901" i="2" a="1"/>
  <c r="O902" i="2" a="1"/>
  <c r="O903" i="2" a="1"/>
  <c r="O904" i="2" a="1"/>
  <c r="O905" i="2" a="1"/>
  <c r="O906" i="2" a="1"/>
  <c r="O907" i="2" a="1"/>
  <c r="O908" i="2" a="1"/>
  <c r="O909" i="2" a="1"/>
  <c r="O910" i="2" a="1"/>
  <c r="O911" i="2" a="1"/>
  <c r="O912" i="2" a="1"/>
  <c r="O913" i="2" a="1"/>
  <c r="O914" i="2" a="1"/>
  <c r="O915" i="2" a="1"/>
  <c r="O916" i="2" a="1"/>
  <c r="O917" i="2" a="1"/>
  <c r="O918" i="2" a="1"/>
  <c r="O919" i="2" a="1"/>
  <c r="O920" i="2" a="1"/>
  <c r="O921" i="2" a="1"/>
  <c r="O922" i="2" a="1"/>
  <c r="O923" i="2" a="1"/>
  <c r="O924" i="2" a="1"/>
  <c r="O925" i="2" a="1"/>
  <c r="O926" i="2" a="1"/>
  <c r="O927" i="2" a="1"/>
  <c r="O928" i="2" a="1"/>
  <c r="O929" i="2" a="1"/>
  <c r="O930" i="2" a="1"/>
  <c r="O931" i="2" a="1"/>
  <c r="O932" i="2" a="1"/>
  <c r="O933" i="2" a="1"/>
  <c r="O934" i="2" a="1"/>
  <c r="O935" i="2" a="1"/>
  <c r="O936" i="2" a="1"/>
  <c r="O937" i="2" a="1"/>
  <c r="O938" i="2" a="1"/>
  <c r="O939" i="2" a="1"/>
  <c r="O940" i="2" a="1"/>
  <c r="O941" i="2" a="1"/>
  <c r="O942" i="2" a="1"/>
  <c r="O943" i="2" a="1"/>
  <c r="O944" i="2" a="1"/>
  <c r="O945" i="2" a="1"/>
  <c r="O946" i="2" a="1"/>
  <c r="O947" i="2" a="1"/>
  <c r="O948" i="2" a="1"/>
  <c r="O949" i="2" a="1"/>
  <c r="O950" i="2" a="1"/>
  <c r="O951" i="2" a="1"/>
  <c r="O952" i="2" a="1"/>
  <c r="O953" i="2" a="1"/>
  <c r="O954" i="2" a="1"/>
  <c r="O955" i="2" a="1"/>
  <c r="O956" i="2" a="1"/>
  <c r="O957" i="2" a="1"/>
  <c r="O958" i="2" a="1"/>
  <c r="O959" i="2" a="1"/>
  <c r="O960" i="2" a="1"/>
  <c r="O961" i="2" a="1"/>
  <c r="O962" i="2" a="1"/>
  <c r="O963" i="2" a="1"/>
  <c r="O964" i="2" a="1"/>
  <c r="O965" i="2" a="1"/>
  <c r="O966" i="2" a="1"/>
  <c r="O967" i="2" a="1"/>
  <c r="O968" i="2" a="1"/>
  <c r="O969" i="2" a="1"/>
  <c r="O970" i="2" a="1"/>
  <c r="O971" i="2" a="1"/>
  <c r="O972" i="2" a="1"/>
  <c r="O973" i="2" a="1"/>
  <c r="O974" i="2" a="1"/>
  <c r="O975" i="2" a="1"/>
  <c r="O976" i="2" a="1"/>
  <c r="O977" i="2" a="1"/>
  <c r="O978" i="2" a="1"/>
  <c r="O979" i="2" a="1"/>
  <c r="O980" i="2" a="1"/>
  <c r="O981" i="2" a="1"/>
  <c r="O982" i="2" a="1"/>
  <c r="O983" i="2" a="1"/>
  <c r="O984" i="2" a="1"/>
  <c r="O985" i="2" a="1"/>
  <c r="O986" i="2" a="1"/>
  <c r="O987" i="2" a="1"/>
  <c r="O988" i="2" a="1"/>
  <c r="O989" i="2" a="1"/>
  <c r="O990" i="2" a="1"/>
  <c r="O991" i="2" a="1"/>
  <c r="O992" i="2" a="1"/>
  <c r="O993" i="2" a="1"/>
  <c r="O994" i="2" a="1"/>
  <c r="O995" i="2" a="1"/>
  <c r="O996" i="2" a="1"/>
  <c r="O997" i="2" a="1"/>
  <c r="O998" i="2" a="1"/>
  <c r="O999" i="2" a="1"/>
  <c r="O1000" i="2" a="1"/>
  <c r="O1001" i="2" a="1"/>
  <c r="O3" i="2" a="1"/>
  <c r="O4" i="2" a="1"/>
  <c r="O5" i="2" a="1"/>
  <c r="O6" i="2" a="1"/>
  <c r="O7" i="2" a="1"/>
  <c r="O2" i="2" a="1"/>
  <c r="Q977"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<sst xmlns="http://schemas.openxmlformats.org/spreadsheetml/2006/main" count="16266" uniqueCount="49">
  <si>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</si>
  <si>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</si>
  <si>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</si>
  <si>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</si>
  <si>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</si>
  <si>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</si>
  <si>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</si>
  <si>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</si>
  <si>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</si>
  <si>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</si>
  <si>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</si>
  <si>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</si>
  <si>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</si>
  <si>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</si>
  <si>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</si>
  <si>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</si>
  <si>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</si>
  <si>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</si>
  <si>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</si>
  <si>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</si>
  <si>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</si>
  <si>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</si>
  <si>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</si>
  <si>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</si>
  <si>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</si>
  <si>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</si>
  <si>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</si>
  <si>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</si>
  <si>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</si>
  <si>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</si>
  <si>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</si>
  <si>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</si>
  <si>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</si>
  <si>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</si>
  <si>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</si>
  <si>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</si>
  <si>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</si>
  <si>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</si>
  <si>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</si>
  <si>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</si>
  <si>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Category</t>
  </si>
  <si>
    <t>Row Labels</t>
  </si>
  <si>
    <t>Grand Total</t>
  </si>
  <si>
    <t>adolsent</t>
  </si>
  <si>
    <t>middle age</t>
  </si>
  <si>
    <t>old</t>
  </si>
  <si>
    <t>Average of Income</t>
  </si>
  <si>
    <t>Column Labels</t>
  </si>
  <si>
    <t>Count of Purchased Bike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</si>
</sst>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_ * #,##0_ ;_ * \-#,##0_ ;_ * &quot;-&quot;??_ ;_ @_ "/>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 ;_ * \-#,##0_ ;_ * "-"??_ ;_ @_ </c:formatCode>
                <c:ptCount val="2"/>
                <c:pt idx="0">
                  <c:v>53440</c:v>
                </c:pt>
                <c:pt idx="1">
                  <c:v>56208.178438661707</c:v>
                </c:pt>
              </c:numCache>
            </c:numRef>
          </c:val>
          <c:extLst>
            <c:ext xmlns:c16="http://schemas.microsoft.com/office/drawing/2014/chart" uri="{C3380CC4-5D6E-409C-BE32-E72D297353CC}">
              <c16:uniqueId val="{00000000-8D5D-497B-B42B-DCC8958F80CA}"/>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8D5D-497B-B42B-DCC8958F80CA}"/>
            </c:ext>
          </c:extLst>
        </c:ser>
        <c:dLbls>
          <c:dLblPos val="outEnd"/>
          <c:showLegendKey val="0"/>
          <c:showVal val="0"/>
          <c:showCatName val="0"/>
          <c:showSerName val="0"/>
          <c:showPercent val="0"/>
          <c:showBubbleSize val="0"/>
        </c:dLbls>
        <c:gapWidth val="150"/>
        <c:axId val="970976047"/>
        <c:axId val="354662351"/>
      </c:barChart>
      <c:catAx>
        <c:axId val="970976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662351"/>
        <c:crosses val="autoZero"/>
        <c:auto val="1"/>
        <c:lblAlgn val="ctr"/>
        <c:lblOffset val="100"/>
        <c:noMultiLvlLbl val="0"/>
      </c:catAx>
      <c:valAx>
        <c:axId val="354662351"/>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97604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31314042401046"/>
          <c:y val="0.14249781277340332"/>
          <c:w val="0.64206869652129395"/>
          <c:h val="0.56035943423738699"/>
        </c:manualLayout>
      </c:layout>
      <c:lineChart>
        <c:grouping val="standard"/>
        <c:varyColors val="0"/>
        <c:ser>
          <c:idx val="0"/>
          <c:order val="0"/>
          <c:tx>
            <c:strRef>
              <c:f>'PIVOT TABLE'!$I$5:$I$6</c:f>
              <c:strCache>
                <c:ptCount val="1"/>
                <c:pt idx="0">
                  <c:v>No</c:v>
                </c:pt>
              </c:strCache>
            </c:strRef>
          </c:tx>
          <c:spPr>
            <a:ln w="28575" cap="rnd">
              <a:solidFill>
                <a:schemeClr val="accent1"/>
              </a:solidFill>
              <a:round/>
            </a:ln>
            <a:effectLst/>
          </c:spPr>
          <c:marker>
            <c:symbol val="none"/>
          </c:marker>
          <c:cat>
            <c:strRef>
              <c:f>'PIVOT TABLE'!$H$7:$H$12</c:f>
              <c:strCache>
                <c:ptCount val="5"/>
                <c:pt idx="0">
                  <c:v>0-1 Miles</c:v>
                </c:pt>
                <c:pt idx="1">
                  <c:v>10+ Miles</c:v>
                </c:pt>
                <c:pt idx="2">
                  <c:v>1-2 Miles</c:v>
                </c:pt>
                <c:pt idx="3">
                  <c:v>2-5 Miles</c:v>
                </c:pt>
                <c:pt idx="4">
                  <c:v>5-10 Miles</c:v>
                </c:pt>
              </c:strCache>
            </c:strRef>
          </c:cat>
          <c:val>
            <c:numRef>
              <c:f>'PIVOT TABLE'!$I$7:$I$12</c:f>
              <c:numCache>
                <c:formatCode>General</c:formatCode>
                <c:ptCount val="5"/>
                <c:pt idx="0">
                  <c:v>166</c:v>
                </c:pt>
                <c:pt idx="1">
                  <c:v>78</c:v>
                </c:pt>
                <c:pt idx="2">
                  <c:v>92</c:v>
                </c:pt>
                <c:pt idx="3">
                  <c:v>67</c:v>
                </c:pt>
                <c:pt idx="4">
                  <c:v>116</c:v>
                </c:pt>
              </c:numCache>
            </c:numRef>
          </c:val>
          <c:smooth val="0"/>
          <c:extLst>
            <c:ext xmlns:c16="http://schemas.microsoft.com/office/drawing/2014/chart" uri="{C3380CC4-5D6E-409C-BE32-E72D297353CC}">
              <c16:uniqueId val="{00000000-38DF-4A3A-A17F-FC8FEB0BCFF1}"/>
            </c:ext>
          </c:extLst>
        </c:ser>
        <c:ser>
          <c:idx val="1"/>
          <c:order val="1"/>
          <c:tx>
            <c:strRef>
              <c:f>'PIVOT TABLE'!$J$5:$J$6</c:f>
              <c:strCache>
                <c:ptCount val="1"/>
                <c:pt idx="0">
                  <c:v>Yes</c:v>
                </c:pt>
              </c:strCache>
            </c:strRef>
          </c:tx>
          <c:spPr>
            <a:ln w="28575" cap="rnd">
              <a:solidFill>
                <a:schemeClr val="accent2"/>
              </a:solidFill>
              <a:round/>
            </a:ln>
            <a:effectLst/>
          </c:spPr>
          <c:marker>
            <c:symbol val="none"/>
          </c:marker>
          <c:cat>
            <c:strRef>
              <c:f>'PIVOT TABLE'!$H$7:$H$12</c:f>
              <c:strCache>
                <c:ptCount val="5"/>
                <c:pt idx="0">
                  <c:v>0-1 Miles</c:v>
                </c:pt>
                <c:pt idx="1">
                  <c:v>10+ Miles</c:v>
                </c:pt>
                <c:pt idx="2">
                  <c:v>1-2 Miles</c:v>
                </c:pt>
                <c:pt idx="3">
                  <c:v>2-5 Miles</c:v>
                </c:pt>
                <c:pt idx="4">
                  <c:v>5-10 Miles</c:v>
                </c:pt>
              </c:strCache>
            </c:strRef>
          </c:cat>
          <c:val>
            <c:numRef>
              <c:f>'PIVOT TABLE'!$J$7:$J$12</c:f>
              <c:numCache>
                <c:formatCode>General</c:formatCode>
                <c:ptCount val="5"/>
                <c:pt idx="0">
                  <c:v>200</c:v>
                </c:pt>
                <c:pt idx="1">
                  <c:v>33</c:v>
                </c:pt>
                <c:pt idx="2">
                  <c:v>77</c:v>
                </c:pt>
                <c:pt idx="3">
                  <c:v>95</c:v>
                </c:pt>
                <c:pt idx="4">
                  <c:v>76</c:v>
                </c:pt>
              </c:numCache>
            </c:numRef>
          </c:val>
          <c:smooth val="0"/>
          <c:extLst>
            <c:ext xmlns:c16="http://schemas.microsoft.com/office/drawing/2014/chart" uri="{C3380CC4-5D6E-409C-BE32-E72D297353CC}">
              <c16:uniqueId val="{00000003-38DF-4A3A-A17F-FC8FEB0BCFF1}"/>
            </c:ext>
          </c:extLst>
        </c:ser>
        <c:dLbls>
          <c:showLegendKey val="0"/>
          <c:showVal val="0"/>
          <c:showCatName val="0"/>
          <c:showSerName val="0"/>
          <c:showPercent val="0"/>
          <c:showBubbleSize val="0"/>
        </c:dLbls>
        <c:smooth val="0"/>
        <c:axId val="1297910287"/>
        <c:axId val="1023728783"/>
      </c:lineChart>
      <c:catAx>
        <c:axId val="12979102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 in Miles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728783"/>
        <c:crosses val="autoZero"/>
        <c:auto val="1"/>
        <c:lblAlgn val="ctr"/>
        <c:lblOffset val="100"/>
        <c:noMultiLvlLbl val="0"/>
      </c:catAx>
      <c:valAx>
        <c:axId val="1023728783"/>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910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4"/>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TABLE'!$H$35:$H$36</c:f>
              <c:strCache>
                <c:ptCount val="1"/>
                <c:pt idx="0">
                  <c:v>No</c:v>
                </c:pt>
              </c:strCache>
            </c:strRef>
          </c:tx>
          <c:spPr>
            <a:ln w="28575" cap="rnd">
              <a:solidFill>
                <a:schemeClr val="accent1"/>
              </a:solidFill>
              <a:round/>
            </a:ln>
            <a:effectLst/>
          </c:spPr>
          <c:marker>
            <c:symbol val="none"/>
          </c:marker>
          <c:cat>
            <c:strRef>
              <c:f>'PIVOT TABLE'!$G$37:$G$40</c:f>
              <c:strCache>
                <c:ptCount val="3"/>
                <c:pt idx="0">
                  <c:v>adolsent</c:v>
                </c:pt>
                <c:pt idx="1">
                  <c:v>middle age</c:v>
                </c:pt>
                <c:pt idx="2">
                  <c:v>old</c:v>
                </c:pt>
              </c:strCache>
            </c:strRef>
          </c:cat>
          <c:val>
            <c:numRef>
              <c:f>'PIVOT TABLE'!$H$37:$H$40</c:f>
              <c:numCache>
                <c:formatCode>General</c:formatCode>
                <c:ptCount val="3"/>
                <c:pt idx="0">
                  <c:v>71</c:v>
                </c:pt>
                <c:pt idx="1">
                  <c:v>313</c:v>
                </c:pt>
                <c:pt idx="2">
                  <c:v>135</c:v>
                </c:pt>
              </c:numCache>
            </c:numRef>
          </c:val>
          <c:smooth val="0"/>
          <c:extLst>
            <c:ext xmlns:c16="http://schemas.microsoft.com/office/drawing/2014/chart" uri="{C3380CC4-5D6E-409C-BE32-E72D297353CC}">
              <c16:uniqueId val="{00000000-20D5-4EEB-B25F-28521502D972}"/>
            </c:ext>
          </c:extLst>
        </c:ser>
        <c:ser>
          <c:idx val="1"/>
          <c:order val="1"/>
          <c:tx>
            <c:strRef>
              <c:f>'PIVOT TABLE'!$I$35:$I$36</c:f>
              <c:strCache>
                <c:ptCount val="1"/>
                <c:pt idx="0">
                  <c:v>Yes</c:v>
                </c:pt>
              </c:strCache>
            </c:strRef>
          </c:tx>
          <c:spPr>
            <a:ln w="28575" cap="rnd">
              <a:solidFill>
                <a:schemeClr val="accent2"/>
              </a:solidFill>
              <a:round/>
            </a:ln>
            <a:effectLst/>
          </c:spPr>
          <c:marker>
            <c:symbol val="none"/>
          </c:marker>
          <c:cat>
            <c:strRef>
              <c:f>'PIVOT TABLE'!$G$37:$G$40</c:f>
              <c:strCache>
                <c:ptCount val="3"/>
                <c:pt idx="0">
                  <c:v>adolsent</c:v>
                </c:pt>
                <c:pt idx="1">
                  <c:v>middle age</c:v>
                </c:pt>
                <c:pt idx="2">
                  <c:v>old</c:v>
                </c:pt>
              </c:strCache>
            </c:strRef>
          </c:cat>
          <c:val>
            <c:numRef>
              <c:f>'PIVOT TABLE'!$I$37:$I$40</c:f>
              <c:numCache>
                <c:formatCode>General</c:formatCode>
                <c:ptCount val="3"/>
                <c:pt idx="0">
                  <c:v>39</c:v>
                </c:pt>
                <c:pt idx="1">
                  <c:v>372</c:v>
                </c:pt>
                <c:pt idx="2">
                  <c:v>70</c:v>
                </c:pt>
              </c:numCache>
            </c:numRef>
          </c:val>
          <c:smooth val="0"/>
          <c:extLst>
            <c:ext xmlns:c16="http://schemas.microsoft.com/office/drawing/2014/chart" uri="{C3380CC4-5D6E-409C-BE32-E72D297353CC}">
              <c16:uniqueId val="{00000001-20D5-4EEB-B25F-28521502D972}"/>
            </c:ext>
          </c:extLst>
        </c:ser>
        <c:dLbls>
          <c:showLegendKey val="0"/>
          <c:showVal val="0"/>
          <c:showCatName val="0"/>
          <c:showSerName val="0"/>
          <c:showPercent val="0"/>
          <c:showBubbleSize val="0"/>
        </c:dLbls>
        <c:smooth val="0"/>
        <c:axId val="1221968911"/>
        <c:axId val="1023824783"/>
      </c:lineChart>
      <c:catAx>
        <c:axId val="1221968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824783"/>
        <c:crosses val="autoZero"/>
        <c:auto val="1"/>
        <c:lblAlgn val="ctr"/>
        <c:lblOffset val="100"/>
        <c:noMultiLvlLbl val="0"/>
      </c:catAx>
      <c:valAx>
        <c:axId val="1023824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968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1059180</xdr:colOff>
      <xdr:row>49</xdr:row>
      <xdr:rowOff>19050</xdr:rowOff>
    </xdr:from>
    <xdr:to>
      <xdr:col>6</xdr:col>
      <xdr:colOff>670560</xdr:colOff>
      <xdr:row>62</xdr:row>
      <xdr:rowOff>30480</xdr:rowOff>
    </xdr:to>
    <xdr:graphicFrame macro="">
      <xdr:nvGraphicFramePr>
        <xdr:cNvPr id="2" name="Chart 1">
          <a:extLst>
            <a:ext uri="{FF2B5EF4-FFF2-40B4-BE49-F238E27FC236}">
              <a16:creationId xmlns:a16="http://schemas.microsoft.com/office/drawing/2014/main" id="{E3F818E1-EA1F-CF84-04F3-C6116FC013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682487</xdr:colOff>
      <xdr:row>49</xdr:row>
      <xdr:rowOff>19050</xdr:rowOff>
    </xdr:from>
    <xdr:to>
      <xdr:col>10</xdr:col>
      <xdr:colOff>530087</xdr:colOff>
      <xdr:row>62</xdr:row>
      <xdr:rowOff>38100</xdr:rowOff>
    </xdr:to>
    <xdr:graphicFrame macro="">
      <xdr:nvGraphicFramePr>
        <xdr:cNvPr id="3" name="Chart 2">
          <a:extLst>
            <a:ext uri="{FF2B5EF4-FFF2-40B4-BE49-F238E27FC236}">
              <a16:creationId xmlns:a16="http://schemas.microsoft.com/office/drawing/2014/main" id="{75F5A1DB-EFEE-5633-FFEC-923D53210F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289560</xdr:colOff>
      <xdr:row>49</xdr:row>
      <xdr:rowOff>22860</xdr:rowOff>
    </xdr:from>
    <xdr:to>
      <xdr:col>1</xdr:col>
      <xdr:colOff>934610</xdr:colOff>
      <xdr:row>55</xdr:row>
      <xdr:rowOff>114300</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B16E2735-76E6-5D8D-164C-F21AF32CE712}"/>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289560" y="8951512"/>
              <a:ext cx="1829463" cy="11847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297180</xdr:colOff>
      <xdr:row>62</xdr:row>
      <xdr:rowOff>30481</xdr:rowOff>
    </xdr:from>
    <xdr:to>
      <xdr:col>1</xdr:col>
      <xdr:colOff>942230</xdr:colOff>
      <xdr:row>71</xdr:row>
      <xdr:rowOff>68581</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4D62E137-93D8-5289-289C-73D7ADDE253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297180" y="11327959"/>
              <a:ext cx="1829463" cy="16780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289560</xdr:colOff>
      <xdr:row>55</xdr:row>
      <xdr:rowOff>121921</xdr:rowOff>
    </xdr:from>
    <xdr:to>
      <xdr:col>1</xdr:col>
      <xdr:colOff>934610</xdr:colOff>
      <xdr:row>62</xdr:row>
      <xdr:rowOff>22861</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E081B871-053C-FD48-8F75-410F51BB39D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89560" y="10143878"/>
              <a:ext cx="1829463" cy="11764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1059180</xdr:colOff>
      <xdr:row>62</xdr:row>
      <xdr:rowOff>19050</xdr:rowOff>
    </xdr:from>
    <xdr:to>
      <xdr:col>10</xdr:col>
      <xdr:colOff>485360</xdr:colOff>
      <xdr:row>71</xdr:row>
      <xdr:rowOff>91440</xdr:rowOff>
    </xdr:to>
    <xdr:graphicFrame macro="">
      <xdr:nvGraphicFramePr>
        <xdr:cNvPr id="9" name="Chart 8">
          <a:extLst>
            <a:ext uri="{FF2B5EF4-FFF2-40B4-BE49-F238E27FC236}">
              <a16:creationId xmlns:a16="http://schemas.microsoft.com/office/drawing/2014/main" id="{4B90DB66-75E2-5713-D103-1D6D149769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0</xdr:col>
      <xdr:colOff>273326</xdr:colOff>
      <xdr:row>45</xdr:row>
      <xdr:rowOff>121920</xdr:rowOff>
    </xdr:from>
    <xdr:ext cx="8597348" cy="655885"/>
    <xdr:sp macro="" textlink="">
      <xdr:nvSpPr>
        <xdr:cNvPr id="10" name="TextBox 9">
          <a:extLst>
            <a:ext uri="{FF2B5EF4-FFF2-40B4-BE49-F238E27FC236}">
              <a16:creationId xmlns:a16="http://schemas.microsoft.com/office/drawing/2014/main" id="{569AFECC-FDED-002C-CCB7-F23D794AA192}"/>
            </a:ext>
          </a:extLst>
        </xdr:cNvPr>
        <xdr:cNvSpPr txBox="1"/>
      </xdr:nvSpPr>
      <xdr:spPr>
        <a:xfrm>
          <a:off x="273326" y="8321703"/>
          <a:ext cx="8597348" cy="655885"/>
        </a:xfrm>
        <a:prstGeom prst="rect">
          <a:avLst/>
        </a:prstGeom>
        <a:solidFill>
          <a:schemeClr val="accent1">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3600"/>
            <a:t>BIKE</a:t>
          </a:r>
          <a:r>
            <a:rPr lang="en-IN" sz="3600" baseline="0"/>
            <a:t> SALES DASHBOARD</a:t>
          </a:r>
          <a:endParaRPr lang="en-IN" sz="36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dhanshu yadav" refreshedDate="46324.493440972219" createdVersion="8" refreshedVersion="8" minRefreshableVersion="3" recordCount="1000" xr:uid="{F8A0C181-419F-4901-A150-34E47F62DC58}">
  <cacheSource type="worksheet">
    <worksheetSource ref="C1:P1001" sheet="CLEANING DATA"/>
  </cacheSource>
  <cacheFields count="14">
    <cacheField name="ID" numFmtId="0">
      <sharedItems containsSemiMixedTypes="0" containsString="0" containsNumber="1" containsInteger="1" minValue="11000" maxValue="29447"/>
    </cacheField>
    <cacheField name="Marital Status" numFmtId="0">
      <sharedItems count="3">
        <s v="MARRIED"/>
        <s v="SINGLE"/>
        <s v="MARRIEDARRIED" u="1"/>
      </sharedItems>
    </cacheField>
    <cacheField name="Gender" numFmtId="0">
      <sharedItems count="2">
        <s v="MALE"/>
        <s v="FEMALE"/>
      </sharedItems>
    </cacheField>
    <cacheField name="Income" numFmtId="1">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High School"/>
        <s v="Partial College"/>
        <s v="Graduate Degree"/>
        <s v="Partial High School"/>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1-2 Miles"/>
        <s v="5-10 Miles"/>
        <s v="2-5 Miles"/>
        <s v="0-1 Miles"/>
        <s v="10+ Miles"/>
      </sharedItems>
    </cacheField>
    <cacheField name="Region" numFmtId="0">
      <sharedItems count="3">
        <s v="Pacific"/>
        <s v="North America"/>
        <s v="Europe"/>
      </sharedItems>
    </cacheField>
    <cacheField name="Age" numFmtId="0">
      <sharedItems containsSemiMixedTypes="0" containsString="0" containsNumber="1" containsInteger="1" minValue="25" maxValue="89"/>
    </cacheField>
    <cacheField name="Age Category" numFmtId="0">
      <sharedItems count="3">
        <s v="middle age"/>
        <s v="old"/>
        <s v="adolsent"/>
      </sharedItems>
    </cacheField>
    <cacheField name="Purchased Bike" numFmtId="0">
      <sharedItems count="2">
        <s v="Yes"/>
        <s v="No"/>
      </sharedItems>
    </cacheField>
  </cacheFields>
  <extLst>
    <ext xmlns:x14="http://schemas.microsoft.com/office/spreadsheetml/2009/9/main" uri="{725AE2AE-9491-48be-B2B4-4EB974FC3084}">
      <x14:pivotCacheDefinition pivotCacheId="51294545"/>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1000"/>
    <x v="0"/>
    <x v="0"/>
    <n v="90000"/>
    <n v="2"/>
    <x v="0"/>
    <s v="Professional"/>
    <s v="Yes"/>
    <n v="0"/>
    <x v="0"/>
    <x v="0"/>
    <n v="40"/>
    <x v="0"/>
    <x v="0"/>
  </r>
  <r>
    <n v="11047"/>
    <x v="0"/>
    <x v="1"/>
    <n v="30000"/>
    <n v="3"/>
    <x v="1"/>
    <s v="Skilled Manual"/>
    <s v="No"/>
    <n v="2"/>
    <x v="0"/>
    <x v="0"/>
    <n v="56"/>
    <x v="1"/>
    <x v="0"/>
  </r>
  <r>
    <n v="11061"/>
    <x v="0"/>
    <x v="0"/>
    <n v="70000"/>
    <n v="2"/>
    <x v="2"/>
    <s v="Skilled Manual"/>
    <s v="Yes"/>
    <n v="2"/>
    <x v="1"/>
    <x v="0"/>
    <n v="52"/>
    <x v="0"/>
    <x v="0"/>
  </r>
  <r>
    <n v="11090"/>
    <x v="1"/>
    <x v="0"/>
    <n v="90000"/>
    <n v="2"/>
    <x v="2"/>
    <s v="Professional"/>
    <s v="Yes"/>
    <n v="1"/>
    <x v="2"/>
    <x v="1"/>
    <n v="48"/>
    <x v="0"/>
    <x v="0"/>
  </r>
  <r>
    <n v="11116"/>
    <x v="0"/>
    <x v="0"/>
    <n v="70000"/>
    <n v="5"/>
    <x v="2"/>
    <s v="Skilled Manual"/>
    <s v="Yes"/>
    <n v="2"/>
    <x v="1"/>
    <x v="0"/>
    <n v="43"/>
    <x v="0"/>
    <x v="1"/>
  </r>
  <r>
    <n v="11139"/>
    <x v="1"/>
    <x v="1"/>
    <n v="30000"/>
    <n v="2"/>
    <x v="2"/>
    <s v="Clerical"/>
    <s v="No"/>
    <n v="2"/>
    <x v="1"/>
    <x v="0"/>
    <n v="67"/>
    <x v="1"/>
    <x v="1"/>
  </r>
  <r>
    <n v="11143"/>
    <x v="0"/>
    <x v="0"/>
    <n v="40000"/>
    <n v="0"/>
    <x v="1"/>
    <s v="Skilled Manual"/>
    <s v="Yes"/>
    <n v="2"/>
    <x v="1"/>
    <x v="1"/>
    <n v="29"/>
    <x v="2"/>
    <x v="1"/>
  </r>
  <r>
    <n v="11147"/>
    <x v="0"/>
    <x v="0"/>
    <n v="60000"/>
    <n v="2"/>
    <x v="3"/>
    <s v="Management"/>
    <s v="Yes"/>
    <n v="1"/>
    <x v="3"/>
    <x v="0"/>
    <n v="67"/>
    <x v="1"/>
    <x v="0"/>
  </r>
  <r>
    <n v="11149"/>
    <x v="0"/>
    <x v="0"/>
    <n v="40000"/>
    <n v="2"/>
    <x v="0"/>
    <s v="Management"/>
    <s v="Yes"/>
    <n v="2"/>
    <x v="3"/>
    <x v="0"/>
    <n v="65"/>
    <x v="1"/>
    <x v="1"/>
  </r>
  <r>
    <n v="11165"/>
    <x v="0"/>
    <x v="1"/>
    <n v="60000"/>
    <n v="0"/>
    <x v="2"/>
    <s v="Skilled Manual"/>
    <s v="No"/>
    <n v="1"/>
    <x v="0"/>
    <x v="1"/>
    <n v="33"/>
    <x v="0"/>
    <x v="1"/>
  </r>
  <r>
    <n v="11199"/>
    <x v="0"/>
    <x v="1"/>
    <n v="70000"/>
    <n v="4"/>
    <x v="0"/>
    <s v="Management"/>
    <s v="Yes"/>
    <n v="1"/>
    <x v="4"/>
    <x v="1"/>
    <n v="59"/>
    <x v="1"/>
    <x v="1"/>
  </r>
  <r>
    <n v="11200"/>
    <x v="0"/>
    <x v="0"/>
    <n v="70000"/>
    <n v="4"/>
    <x v="0"/>
    <s v="Management"/>
    <s v="Yes"/>
    <n v="1"/>
    <x v="0"/>
    <x v="1"/>
    <n v="58"/>
    <x v="1"/>
    <x v="1"/>
  </r>
  <r>
    <n v="11219"/>
    <x v="0"/>
    <x v="0"/>
    <n v="60000"/>
    <n v="2"/>
    <x v="1"/>
    <s v="Professional"/>
    <s v="Yes"/>
    <n v="2"/>
    <x v="4"/>
    <x v="1"/>
    <n v="55"/>
    <x v="1"/>
    <x v="1"/>
  </r>
  <r>
    <n v="11225"/>
    <x v="0"/>
    <x v="1"/>
    <n v="60000"/>
    <n v="2"/>
    <x v="2"/>
    <s v="Professional"/>
    <s v="Yes"/>
    <n v="1"/>
    <x v="4"/>
    <x v="1"/>
    <n v="55"/>
    <x v="1"/>
    <x v="1"/>
  </r>
  <r>
    <n v="11233"/>
    <x v="0"/>
    <x v="0"/>
    <n v="70000"/>
    <n v="4"/>
    <x v="2"/>
    <s v="Professional"/>
    <s v="Yes"/>
    <n v="2"/>
    <x v="4"/>
    <x v="1"/>
    <n v="53"/>
    <x v="0"/>
    <x v="1"/>
  </r>
  <r>
    <n v="11249"/>
    <x v="0"/>
    <x v="1"/>
    <n v="130000"/>
    <n v="3"/>
    <x v="2"/>
    <s v="Professional"/>
    <s v="Yes"/>
    <n v="3"/>
    <x v="3"/>
    <x v="2"/>
    <n v="51"/>
    <x v="0"/>
    <x v="0"/>
  </r>
  <r>
    <n v="11255"/>
    <x v="0"/>
    <x v="0"/>
    <n v="70000"/>
    <n v="4"/>
    <x v="3"/>
    <s v="Management"/>
    <s v="Yes"/>
    <n v="2"/>
    <x v="1"/>
    <x v="1"/>
    <n v="73"/>
    <x v="1"/>
    <x v="1"/>
  </r>
  <r>
    <n v="11259"/>
    <x v="0"/>
    <x v="1"/>
    <n v="100000"/>
    <n v="4"/>
    <x v="2"/>
    <s v="Professional"/>
    <s v="Yes"/>
    <n v="4"/>
    <x v="2"/>
    <x v="1"/>
    <n v="41"/>
    <x v="0"/>
    <x v="0"/>
  </r>
  <r>
    <n v="11262"/>
    <x v="0"/>
    <x v="1"/>
    <n v="80000"/>
    <n v="4"/>
    <x v="0"/>
    <s v="Management"/>
    <s v="Yes"/>
    <n v="0"/>
    <x v="3"/>
    <x v="1"/>
    <n v="42"/>
    <x v="0"/>
    <x v="1"/>
  </r>
  <r>
    <n v="11269"/>
    <x v="0"/>
    <x v="0"/>
    <n v="130000"/>
    <n v="2"/>
    <x v="3"/>
    <s v="Management"/>
    <s v="Yes"/>
    <n v="2"/>
    <x v="3"/>
    <x v="1"/>
    <n v="41"/>
    <x v="0"/>
    <x v="1"/>
  </r>
  <r>
    <n v="11270"/>
    <x v="0"/>
    <x v="0"/>
    <n v="130000"/>
    <n v="2"/>
    <x v="3"/>
    <s v="Management"/>
    <s v="Yes"/>
    <n v="3"/>
    <x v="3"/>
    <x v="1"/>
    <n v="42"/>
    <x v="0"/>
    <x v="0"/>
  </r>
  <r>
    <n v="11275"/>
    <x v="0"/>
    <x v="1"/>
    <n v="80000"/>
    <n v="4"/>
    <x v="3"/>
    <s v="Management"/>
    <s v="Yes"/>
    <n v="2"/>
    <x v="3"/>
    <x v="1"/>
    <n v="72"/>
    <x v="1"/>
    <x v="0"/>
  </r>
  <r>
    <n v="11287"/>
    <x v="0"/>
    <x v="0"/>
    <n v="70000"/>
    <n v="5"/>
    <x v="2"/>
    <s v="Professional"/>
    <s v="No"/>
    <n v="3"/>
    <x v="1"/>
    <x v="1"/>
    <n v="45"/>
    <x v="0"/>
    <x v="1"/>
  </r>
  <r>
    <n v="11292"/>
    <x v="1"/>
    <x v="0"/>
    <n v="150000"/>
    <n v="1"/>
    <x v="2"/>
    <s v="Professional"/>
    <s v="No"/>
    <n v="3"/>
    <x v="3"/>
    <x v="1"/>
    <n v="44"/>
    <x v="0"/>
    <x v="0"/>
  </r>
  <r>
    <n v="11303"/>
    <x v="1"/>
    <x v="1"/>
    <n v="90000"/>
    <n v="4"/>
    <x v="1"/>
    <s v="Professional"/>
    <s v="No"/>
    <n v="3"/>
    <x v="0"/>
    <x v="1"/>
    <n v="45"/>
    <x v="0"/>
    <x v="0"/>
  </r>
  <r>
    <n v="11340"/>
    <x v="0"/>
    <x v="1"/>
    <n v="10000"/>
    <n v="1"/>
    <x v="3"/>
    <s v="Clerical"/>
    <s v="Yes"/>
    <n v="0"/>
    <x v="3"/>
    <x v="2"/>
    <n v="70"/>
    <x v="1"/>
    <x v="0"/>
  </r>
  <r>
    <n v="11378"/>
    <x v="1"/>
    <x v="1"/>
    <n v="10000"/>
    <n v="1"/>
    <x v="1"/>
    <s v="Manual"/>
    <s v="No"/>
    <n v="1"/>
    <x v="2"/>
    <x v="2"/>
    <n v="46"/>
    <x v="0"/>
    <x v="0"/>
  </r>
  <r>
    <n v="11381"/>
    <x v="0"/>
    <x v="1"/>
    <n v="20000"/>
    <n v="2"/>
    <x v="2"/>
    <s v="Manual"/>
    <s v="Yes"/>
    <n v="1"/>
    <x v="2"/>
    <x v="2"/>
    <n v="47"/>
    <x v="0"/>
    <x v="0"/>
  </r>
  <r>
    <n v="11383"/>
    <x v="0"/>
    <x v="1"/>
    <n v="30000"/>
    <n v="3"/>
    <x v="3"/>
    <s v="Clerical"/>
    <s v="Yes"/>
    <n v="0"/>
    <x v="3"/>
    <x v="2"/>
    <n v="46"/>
    <x v="0"/>
    <x v="1"/>
  </r>
  <r>
    <n v="11386"/>
    <x v="0"/>
    <x v="1"/>
    <n v="30000"/>
    <n v="3"/>
    <x v="0"/>
    <s v="Clerical"/>
    <s v="Yes"/>
    <n v="0"/>
    <x v="3"/>
    <x v="2"/>
    <n v="45"/>
    <x v="0"/>
    <x v="1"/>
  </r>
  <r>
    <n v="11415"/>
    <x v="1"/>
    <x v="0"/>
    <n v="90000"/>
    <n v="5"/>
    <x v="2"/>
    <s v="Professional"/>
    <s v="No"/>
    <n v="2"/>
    <x v="4"/>
    <x v="2"/>
    <n v="62"/>
    <x v="1"/>
    <x v="1"/>
  </r>
  <r>
    <n v="11434"/>
    <x v="0"/>
    <x v="0"/>
    <n v="170000"/>
    <n v="5"/>
    <x v="2"/>
    <s v="Professional"/>
    <s v="Yes"/>
    <n v="0"/>
    <x v="3"/>
    <x v="2"/>
    <n v="55"/>
    <x v="1"/>
    <x v="1"/>
  </r>
  <r>
    <n v="11451"/>
    <x v="1"/>
    <x v="0"/>
    <n v="70000"/>
    <n v="0"/>
    <x v="0"/>
    <s v="Professional"/>
    <s v="No"/>
    <n v="4"/>
    <x v="4"/>
    <x v="0"/>
    <n v="31"/>
    <x v="0"/>
    <x v="0"/>
  </r>
  <r>
    <n v="11453"/>
    <x v="1"/>
    <x v="0"/>
    <n v="80000"/>
    <n v="0"/>
    <x v="0"/>
    <s v="Professional"/>
    <s v="No"/>
    <n v="3"/>
    <x v="4"/>
    <x v="0"/>
    <n v="33"/>
    <x v="0"/>
    <x v="0"/>
  </r>
  <r>
    <n v="11489"/>
    <x v="1"/>
    <x v="1"/>
    <n v="20000"/>
    <n v="0"/>
    <x v="4"/>
    <s v="Manual"/>
    <s v="No"/>
    <n v="2"/>
    <x v="0"/>
    <x v="2"/>
    <n v="35"/>
    <x v="0"/>
    <x v="0"/>
  </r>
  <r>
    <n v="11538"/>
    <x v="1"/>
    <x v="1"/>
    <n v="60000"/>
    <n v="4"/>
    <x v="3"/>
    <s v="Skilled Manual"/>
    <s v="No"/>
    <n v="0"/>
    <x v="3"/>
    <x v="1"/>
    <n v="47"/>
    <x v="0"/>
    <x v="0"/>
  </r>
  <r>
    <n v="11540"/>
    <x v="1"/>
    <x v="0"/>
    <n v="60000"/>
    <n v="4"/>
    <x v="3"/>
    <s v="Skilled Manual"/>
    <s v="Yes"/>
    <n v="0"/>
    <x v="0"/>
    <x v="1"/>
    <n v="47"/>
    <x v="0"/>
    <x v="0"/>
  </r>
  <r>
    <n v="11555"/>
    <x v="0"/>
    <x v="1"/>
    <n v="40000"/>
    <n v="1"/>
    <x v="0"/>
    <s v="Clerical"/>
    <s v="Yes"/>
    <n v="0"/>
    <x v="3"/>
    <x v="2"/>
    <n v="80"/>
    <x v="1"/>
    <x v="1"/>
  </r>
  <r>
    <n v="11576"/>
    <x v="0"/>
    <x v="0"/>
    <n v="30000"/>
    <n v="1"/>
    <x v="0"/>
    <s v="Skilled Manual"/>
    <s v="Yes"/>
    <n v="2"/>
    <x v="3"/>
    <x v="2"/>
    <n v="41"/>
    <x v="0"/>
    <x v="0"/>
  </r>
  <r>
    <n v="11585"/>
    <x v="0"/>
    <x v="1"/>
    <n v="40000"/>
    <n v="1"/>
    <x v="0"/>
    <s v="Skilled Manual"/>
    <s v="Yes"/>
    <n v="0"/>
    <x v="3"/>
    <x v="2"/>
    <n v="41"/>
    <x v="0"/>
    <x v="1"/>
  </r>
  <r>
    <n v="11619"/>
    <x v="1"/>
    <x v="1"/>
    <n v="50000"/>
    <n v="0"/>
    <x v="3"/>
    <s v="Skilled Manual"/>
    <s v="Yes"/>
    <n v="0"/>
    <x v="0"/>
    <x v="1"/>
    <n v="33"/>
    <x v="0"/>
    <x v="1"/>
  </r>
  <r>
    <n v="11622"/>
    <x v="0"/>
    <x v="0"/>
    <n v="50000"/>
    <n v="0"/>
    <x v="3"/>
    <s v="Skilled Manual"/>
    <s v="Yes"/>
    <n v="0"/>
    <x v="3"/>
    <x v="1"/>
    <n v="32"/>
    <x v="0"/>
    <x v="1"/>
  </r>
  <r>
    <n v="11641"/>
    <x v="0"/>
    <x v="0"/>
    <n v="50000"/>
    <n v="1"/>
    <x v="0"/>
    <s v="Skilled Manual"/>
    <s v="Yes"/>
    <n v="0"/>
    <x v="3"/>
    <x v="1"/>
    <n v="36"/>
    <x v="0"/>
    <x v="1"/>
  </r>
  <r>
    <n v="11644"/>
    <x v="1"/>
    <x v="0"/>
    <n v="40000"/>
    <n v="2"/>
    <x v="0"/>
    <s v="Skilled Manual"/>
    <s v="Yes"/>
    <n v="0"/>
    <x v="2"/>
    <x v="1"/>
    <n v="36"/>
    <x v="0"/>
    <x v="1"/>
  </r>
  <r>
    <n v="11663"/>
    <x v="0"/>
    <x v="0"/>
    <n v="70000"/>
    <n v="4"/>
    <x v="3"/>
    <s v="Professional"/>
    <s v="Yes"/>
    <n v="0"/>
    <x v="3"/>
    <x v="1"/>
    <n v="36"/>
    <x v="0"/>
    <x v="0"/>
  </r>
  <r>
    <n v="11669"/>
    <x v="1"/>
    <x v="1"/>
    <n v="70000"/>
    <n v="2"/>
    <x v="0"/>
    <s v="Skilled Manual"/>
    <s v="Yes"/>
    <n v="1"/>
    <x v="2"/>
    <x v="1"/>
    <n v="38"/>
    <x v="0"/>
    <x v="1"/>
  </r>
  <r>
    <n v="11699"/>
    <x v="1"/>
    <x v="0"/>
    <n v="60000"/>
    <n v="0"/>
    <x v="0"/>
    <s v="Skilled Manual"/>
    <s v="No"/>
    <n v="2"/>
    <x v="3"/>
    <x v="1"/>
    <n v="30"/>
    <x v="2"/>
    <x v="1"/>
  </r>
  <r>
    <n v="11734"/>
    <x v="0"/>
    <x v="0"/>
    <n v="60000"/>
    <n v="1"/>
    <x v="2"/>
    <s v="Skilled Manual"/>
    <s v="No"/>
    <n v="1"/>
    <x v="3"/>
    <x v="1"/>
    <n v="47"/>
    <x v="0"/>
    <x v="1"/>
  </r>
  <r>
    <n v="11738"/>
    <x v="0"/>
    <x v="0"/>
    <n v="60000"/>
    <n v="4"/>
    <x v="0"/>
    <s v="Professional"/>
    <s v="Yes"/>
    <n v="0"/>
    <x v="2"/>
    <x v="1"/>
    <n v="46"/>
    <x v="0"/>
    <x v="1"/>
  </r>
  <r>
    <n v="11745"/>
    <x v="0"/>
    <x v="1"/>
    <n v="60000"/>
    <n v="1"/>
    <x v="0"/>
    <s v="Professional"/>
    <s v="Yes"/>
    <n v="1"/>
    <x v="3"/>
    <x v="1"/>
    <n v="47"/>
    <x v="0"/>
    <x v="0"/>
  </r>
  <r>
    <n v="11783"/>
    <x v="0"/>
    <x v="1"/>
    <n v="60000"/>
    <n v="1"/>
    <x v="3"/>
    <s v="Skilled Manual"/>
    <s v="Yes"/>
    <n v="0"/>
    <x v="3"/>
    <x v="1"/>
    <n v="34"/>
    <x v="0"/>
    <x v="1"/>
  </r>
  <r>
    <n v="11788"/>
    <x v="1"/>
    <x v="1"/>
    <n v="70000"/>
    <n v="1"/>
    <x v="3"/>
    <s v="Professional"/>
    <s v="Yes"/>
    <n v="0"/>
    <x v="2"/>
    <x v="1"/>
    <n v="34"/>
    <x v="0"/>
    <x v="1"/>
  </r>
  <r>
    <n v="11801"/>
    <x v="0"/>
    <x v="0"/>
    <n v="60000"/>
    <n v="1"/>
    <x v="3"/>
    <s v="Professional"/>
    <s v="Yes"/>
    <n v="0"/>
    <x v="2"/>
    <x v="1"/>
    <n v="36"/>
    <x v="0"/>
    <x v="1"/>
  </r>
  <r>
    <n v="11807"/>
    <x v="0"/>
    <x v="0"/>
    <n v="70000"/>
    <n v="3"/>
    <x v="3"/>
    <s v="Professional"/>
    <s v="Yes"/>
    <n v="0"/>
    <x v="2"/>
    <x v="1"/>
    <n v="34"/>
    <x v="0"/>
    <x v="1"/>
  </r>
  <r>
    <n v="11809"/>
    <x v="0"/>
    <x v="0"/>
    <n v="60000"/>
    <n v="2"/>
    <x v="0"/>
    <s v="Skilled Manual"/>
    <s v="Yes"/>
    <n v="0"/>
    <x v="3"/>
    <x v="1"/>
    <n v="38"/>
    <x v="0"/>
    <x v="0"/>
  </r>
  <r>
    <n v="11817"/>
    <x v="1"/>
    <x v="1"/>
    <n v="70000"/>
    <n v="4"/>
    <x v="3"/>
    <s v="Professional"/>
    <s v="Yes"/>
    <n v="0"/>
    <x v="2"/>
    <x v="1"/>
    <n v="35"/>
    <x v="0"/>
    <x v="0"/>
  </r>
  <r>
    <n v="11823"/>
    <x v="0"/>
    <x v="1"/>
    <n v="70000"/>
    <n v="0"/>
    <x v="3"/>
    <s v="Professional"/>
    <s v="Yes"/>
    <n v="0"/>
    <x v="2"/>
    <x v="1"/>
    <n v="39"/>
    <x v="0"/>
    <x v="1"/>
  </r>
  <r>
    <n v="11886"/>
    <x v="0"/>
    <x v="1"/>
    <n v="60000"/>
    <n v="3"/>
    <x v="0"/>
    <s v="Professional"/>
    <s v="Yes"/>
    <n v="1"/>
    <x v="3"/>
    <x v="1"/>
    <n v="48"/>
    <x v="0"/>
    <x v="0"/>
  </r>
  <r>
    <n v="11890"/>
    <x v="0"/>
    <x v="1"/>
    <n v="70000"/>
    <n v="5"/>
    <x v="3"/>
    <s v="Professional"/>
    <s v="Yes"/>
    <n v="1"/>
    <x v="3"/>
    <x v="1"/>
    <n v="47"/>
    <x v="0"/>
    <x v="1"/>
  </r>
  <r>
    <n v="11896"/>
    <x v="0"/>
    <x v="0"/>
    <n v="100000"/>
    <n v="1"/>
    <x v="3"/>
    <s v="Management"/>
    <s v="Yes"/>
    <n v="0"/>
    <x v="2"/>
    <x v="0"/>
    <n v="36"/>
    <x v="0"/>
    <x v="0"/>
  </r>
  <r>
    <n v="11897"/>
    <x v="1"/>
    <x v="0"/>
    <n v="60000"/>
    <n v="2"/>
    <x v="0"/>
    <s v="Professional"/>
    <s v="No"/>
    <n v="1"/>
    <x v="3"/>
    <x v="0"/>
    <n v="37"/>
    <x v="0"/>
    <x v="0"/>
  </r>
  <r>
    <n v="11935"/>
    <x v="1"/>
    <x v="1"/>
    <n v="30000"/>
    <n v="0"/>
    <x v="2"/>
    <s v="Skilled Manual"/>
    <s v="Yes"/>
    <n v="1"/>
    <x v="1"/>
    <x v="1"/>
    <n v="28"/>
    <x v="2"/>
    <x v="1"/>
  </r>
  <r>
    <n v="11941"/>
    <x v="1"/>
    <x v="0"/>
    <n v="60000"/>
    <n v="0"/>
    <x v="2"/>
    <s v="Skilled Manual"/>
    <s v="Yes"/>
    <n v="0"/>
    <x v="1"/>
    <x v="1"/>
    <n v="29"/>
    <x v="2"/>
    <x v="1"/>
  </r>
  <r>
    <n v="12029"/>
    <x v="0"/>
    <x v="0"/>
    <n v="30000"/>
    <n v="0"/>
    <x v="4"/>
    <s v="Clerical"/>
    <s v="No"/>
    <n v="2"/>
    <x v="3"/>
    <x v="1"/>
    <n v="28"/>
    <x v="2"/>
    <x v="1"/>
  </r>
  <r>
    <n v="12033"/>
    <x v="1"/>
    <x v="1"/>
    <n v="40000"/>
    <n v="0"/>
    <x v="1"/>
    <s v="Skilled Manual"/>
    <s v="No"/>
    <n v="2"/>
    <x v="3"/>
    <x v="1"/>
    <n v="27"/>
    <x v="2"/>
    <x v="0"/>
  </r>
  <r>
    <n v="12056"/>
    <x v="0"/>
    <x v="0"/>
    <n v="120000"/>
    <n v="2"/>
    <x v="3"/>
    <s v="Management"/>
    <s v="Yes"/>
    <n v="3"/>
    <x v="1"/>
    <x v="1"/>
    <n v="64"/>
    <x v="1"/>
    <x v="1"/>
  </r>
  <r>
    <n v="12100"/>
    <x v="1"/>
    <x v="0"/>
    <n v="60000"/>
    <n v="2"/>
    <x v="0"/>
    <s v="Management"/>
    <s v="Yes"/>
    <n v="0"/>
    <x v="4"/>
    <x v="1"/>
    <n v="57"/>
    <x v="1"/>
    <x v="1"/>
  </r>
  <r>
    <n v="12121"/>
    <x v="1"/>
    <x v="0"/>
    <n v="60000"/>
    <n v="3"/>
    <x v="1"/>
    <s v="Professional"/>
    <s v="Yes"/>
    <n v="2"/>
    <x v="4"/>
    <x v="1"/>
    <n v="53"/>
    <x v="0"/>
    <x v="0"/>
  </r>
  <r>
    <n v="12133"/>
    <x v="0"/>
    <x v="1"/>
    <n v="130000"/>
    <n v="3"/>
    <x v="2"/>
    <s v="Professional"/>
    <s v="Yes"/>
    <n v="3"/>
    <x v="1"/>
    <x v="2"/>
    <n v="50"/>
    <x v="0"/>
    <x v="0"/>
  </r>
  <r>
    <n v="12153"/>
    <x v="1"/>
    <x v="1"/>
    <n v="70000"/>
    <n v="3"/>
    <x v="2"/>
    <s v="Professional"/>
    <s v="Yes"/>
    <n v="1"/>
    <x v="1"/>
    <x v="1"/>
    <n v="49"/>
    <x v="0"/>
    <x v="0"/>
  </r>
  <r>
    <n v="12192"/>
    <x v="1"/>
    <x v="1"/>
    <n v="60000"/>
    <n v="2"/>
    <x v="4"/>
    <s v="Skilled Manual"/>
    <s v="No"/>
    <n v="2"/>
    <x v="0"/>
    <x v="1"/>
    <n v="51"/>
    <x v="0"/>
    <x v="1"/>
  </r>
  <r>
    <n v="12195"/>
    <x v="1"/>
    <x v="1"/>
    <n v="70000"/>
    <n v="3"/>
    <x v="3"/>
    <s v="Management"/>
    <s v="Yes"/>
    <n v="2"/>
    <x v="0"/>
    <x v="1"/>
    <n v="52"/>
    <x v="0"/>
    <x v="1"/>
  </r>
  <r>
    <n v="12205"/>
    <x v="1"/>
    <x v="1"/>
    <n v="130000"/>
    <n v="2"/>
    <x v="0"/>
    <s v="Management"/>
    <s v="No"/>
    <n v="4"/>
    <x v="3"/>
    <x v="1"/>
    <n v="67"/>
    <x v="1"/>
    <x v="1"/>
  </r>
  <r>
    <n v="12207"/>
    <x v="1"/>
    <x v="0"/>
    <n v="80000"/>
    <n v="4"/>
    <x v="0"/>
    <s v="Management"/>
    <s v="Yes"/>
    <n v="0"/>
    <x v="1"/>
    <x v="1"/>
    <n v="66"/>
    <x v="1"/>
    <x v="0"/>
  </r>
  <r>
    <n v="12212"/>
    <x v="0"/>
    <x v="1"/>
    <n v="10000"/>
    <n v="0"/>
    <x v="3"/>
    <s v="Manual"/>
    <s v="Yes"/>
    <n v="0"/>
    <x v="3"/>
    <x v="2"/>
    <n v="37"/>
    <x v="0"/>
    <x v="0"/>
  </r>
  <r>
    <n v="12231"/>
    <x v="1"/>
    <x v="1"/>
    <n v="10000"/>
    <n v="2"/>
    <x v="2"/>
    <s v="Manual"/>
    <s v="Yes"/>
    <n v="0"/>
    <x v="3"/>
    <x v="2"/>
    <n v="51"/>
    <x v="0"/>
    <x v="0"/>
  </r>
  <r>
    <n v="12234"/>
    <x v="0"/>
    <x v="0"/>
    <n v="10000"/>
    <n v="2"/>
    <x v="2"/>
    <s v="Manual"/>
    <s v="Yes"/>
    <n v="1"/>
    <x v="2"/>
    <x v="2"/>
    <n v="52"/>
    <x v="0"/>
    <x v="1"/>
  </r>
  <r>
    <n v="12236"/>
    <x v="0"/>
    <x v="1"/>
    <n v="20000"/>
    <n v="1"/>
    <x v="2"/>
    <s v="Manual"/>
    <s v="Yes"/>
    <n v="0"/>
    <x v="3"/>
    <x v="2"/>
    <n v="65"/>
    <x v="1"/>
    <x v="1"/>
  </r>
  <r>
    <n v="12253"/>
    <x v="1"/>
    <x v="1"/>
    <n v="20000"/>
    <n v="0"/>
    <x v="2"/>
    <s v="Manual"/>
    <s v="Yes"/>
    <n v="0"/>
    <x v="3"/>
    <x v="0"/>
    <n v="29"/>
    <x v="2"/>
    <x v="0"/>
  </r>
  <r>
    <n v="12273"/>
    <x v="0"/>
    <x v="0"/>
    <n v="30000"/>
    <n v="1"/>
    <x v="0"/>
    <s v="Clerical"/>
    <s v="Yes"/>
    <n v="0"/>
    <x v="3"/>
    <x v="2"/>
    <n v="47"/>
    <x v="0"/>
    <x v="1"/>
  </r>
  <r>
    <n v="12274"/>
    <x v="1"/>
    <x v="0"/>
    <n v="10000"/>
    <n v="2"/>
    <x v="1"/>
    <s v="Manual"/>
    <s v="Yes"/>
    <n v="0"/>
    <x v="3"/>
    <x v="2"/>
    <n v="35"/>
    <x v="0"/>
    <x v="1"/>
  </r>
  <r>
    <n v="12284"/>
    <x v="0"/>
    <x v="1"/>
    <n v="30000"/>
    <n v="0"/>
    <x v="0"/>
    <s v="Clerical"/>
    <s v="No"/>
    <n v="0"/>
    <x v="3"/>
    <x v="2"/>
    <n v="36"/>
    <x v="0"/>
    <x v="0"/>
  </r>
  <r>
    <n v="12291"/>
    <x v="1"/>
    <x v="0"/>
    <n v="90000"/>
    <n v="5"/>
    <x v="2"/>
    <s v="Professional"/>
    <s v="No"/>
    <n v="2"/>
    <x v="2"/>
    <x v="2"/>
    <n v="62"/>
    <x v="1"/>
    <x v="0"/>
  </r>
  <r>
    <n v="12332"/>
    <x v="0"/>
    <x v="0"/>
    <n v="90000"/>
    <n v="4"/>
    <x v="1"/>
    <s v="Management"/>
    <s v="Yes"/>
    <n v="3"/>
    <x v="1"/>
    <x v="2"/>
    <n v="58"/>
    <x v="1"/>
    <x v="0"/>
  </r>
  <r>
    <n v="12344"/>
    <x v="1"/>
    <x v="1"/>
    <n v="80000"/>
    <n v="0"/>
    <x v="0"/>
    <s v="Professional"/>
    <s v="No"/>
    <n v="3"/>
    <x v="4"/>
    <x v="0"/>
    <n v="31"/>
    <x v="0"/>
    <x v="1"/>
  </r>
  <r>
    <n v="12389"/>
    <x v="1"/>
    <x v="0"/>
    <n v="30000"/>
    <n v="0"/>
    <x v="1"/>
    <s v="Manual"/>
    <s v="No"/>
    <n v="1"/>
    <x v="2"/>
    <x v="2"/>
    <n v="34"/>
    <x v="0"/>
    <x v="1"/>
  </r>
  <r>
    <n v="12452"/>
    <x v="0"/>
    <x v="0"/>
    <n v="60000"/>
    <n v="4"/>
    <x v="3"/>
    <s v="Skilled Manual"/>
    <s v="Yes"/>
    <n v="0"/>
    <x v="0"/>
    <x v="1"/>
    <n v="47"/>
    <x v="0"/>
    <x v="0"/>
  </r>
  <r>
    <n v="12472"/>
    <x v="0"/>
    <x v="0"/>
    <n v="30000"/>
    <n v="1"/>
    <x v="0"/>
    <s v="Clerical"/>
    <s v="Yes"/>
    <n v="1"/>
    <x v="2"/>
    <x v="2"/>
    <n v="39"/>
    <x v="0"/>
    <x v="1"/>
  </r>
  <r>
    <n v="12496"/>
    <x v="0"/>
    <x v="1"/>
    <n v="40000"/>
    <n v="1"/>
    <x v="0"/>
    <s v="Skilled Manual"/>
    <s v="Yes"/>
    <n v="0"/>
    <x v="3"/>
    <x v="2"/>
    <n v="42"/>
    <x v="0"/>
    <x v="1"/>
  </r>
  <r>
    <n v="12497"/>
    <x v="0"/>
    <x v="1"/>
    <n v="40000"/>
    <n v="1"/>
    <x v="0"/>
    <s v="Skilled Manual"/>
    <s v="Yes"/>
    <n v="0"/>
    <x v="3"/>
    <x v="2"/>
    <n v="42"/>
    <x v="0"/>
    <x v="1"/>
  </r>
  <r>
    <n v="12503"/>
    <x v="1"/>
    <x v="1"/>
    <n v="30000"/>
    <n v="3"/>
    <x v="2"/>
    <s v="Clerical"/>
    <s v="Yes"/>
    <n v="2"/>
    <x v="3"/>
    <x v="2"/>
    <n v="27"/>
    <x v="2"/>
    <x v="1"/>
  </r>
  <r>
    <n v="12507"/>
    <x v="0"/>
    <x v="0"/>
    <n v="30000"/>
    <n v="1"/>
    <x v="2"/>
    <s v="Clerical"/>
    <s v="Yes"/>
    <n v="1"/>
    <x v="3"/>
    <x v="2"/>
    <n v="43"/>
    <x v="0"/>
    <x v="1"/>
  </r>
  <r>
    <n v="12510"/>
    <x v="0"/>
    <x v="0"/>
    <n v="40000"/>
    <n v="1"/>
    <x v="0"/>
    <s v="Skilled Manual"/>
    <s v="Yes"/>
    <n v="1"/>
    <x v="3"/>
    <x v="2"/>
    <n v="43"/>
    <x v="0"/>
    <x v="0"/>
  </r>
  <r>
    <n v="12558"/>
    <x v="0"/>
    <x v="1"/>
    <n v="20000"/>
    <n v="1"/>
    <x v="0"/>
    <s v="Clerical"/>
    <s v="Yes"/>
    <n v="0"/>
    <x v="3"/>
    <x v="2"/>
    <n v="65"/>
    <x v="1"/>
    <x v="1"/>
  </r>
  <r>
    <n v="12568"/>
    <x v="0"/>
    <x v="1"/>
    <n v="30000"/>
    <n v="1"/>
    <x v="0"/>
    <s v="Clerical"/>
    <s v="Yes"/>
    <n v="0"/>
    <x v="3"/>
    <x v="2"/>
    <n v="64"/>
    <x v="1"/>
    <x v="1"/>
  </r>
  <r>
    <n v="12581"/>
    <x v="1"/>
    <x v="1"/>
    <n v="10000"/>
    <n v="0"/>
    <x v="2"/>
    <s v="Manual"/>
    <s v="No"/>
    <n v="1"/>
    <x v="3"/>
    <x v="0"/>
    <n v="28"/>
    <x v="2"/>
    <x v="0"/>
  </r>
  <r>
    <n v="12585"/>
    <x v="0"/>
    <x v="0"/>
    <n v="10000"/>
    <n v="1"/>
    <x v="1"/>
    <s v="Manual"/>
    <s v="Yes"/>
    <n v="0"/>
    <x v="2"/>
    <x v="0"/>
    <n v="27"/>
    <x v="2"/>
    <x v="0"/>
  </r>
  <r>
    <n v="12590"/>
    <x v="1"/>
    <x v="0"/>
    <n v="30000"/>
    <n v="1"/>
    <x v="0"/>
    <s v="Clerical"/>
    <s v="Yes"/>
    <n v="0"/>
    <x v="3"/>
    <x v="2"/>
    <n v="63"/>
    <x v="1"/>
    <x v="1"/>
  </r>
  <r>
    <n v="12591"/>
    <x v="0"/>
    <x v="1"/>
    <n v="30000"/>
    <n v="4"/>
    <x v="3"/>
    <s v="Clerical"/>
    <s v="Yes"/>
    <n v="0"/>
    <x v="3"/>
    <x v="2"/>
    <n v="45"/>
    <x v="0"/>
    <x v="1"/>
  </r>
  <r>
    <n v="12610"/>
    <x v="0"/>
    <x v="1"/>
    <n v="30000"/>
    <n v="1"/>
    <x v="0"/>
    <s v="Clerical"/>
    <s v="Yes"/>
    <n v="0"/>
    <x v="3"/>
    <x v="2"/>
    <n v="47"/>
    <x v="0"/>
    <x v="1"/>
  </r>
  <r>
    <n v="12629"/>
    <x v="1"/>
    <x v="0"/>
    <n v="20000"/>
    <n v="1"/>
    <x v="2"/>
    <s v="Manual"/>
    <s v="No"/>
    <n v="0"/>
    <x v="3"/>
    <x v="2"/>
    <n v="37"/>
    <x v="0"/>
    <x v="1"/>
  </r>
  <r>
    <n v="12663"/>
    <x v="0"/>
    <x v="1"/>
    <n v="90000"/>
    <n v="5"/>
    <x v="4"/>
    <s v="Skilled Manual"/>
    <s v="Yes"/>
    <n v="2"/>
    <x v="4"/>
    <x v="2"/>
    <n v="59"/>
    <x v="1"/>
    <x v="1"/>
  </r>
  <r>
    <n v="12664"/>
    <x v="0"/>
    <x v="1"/>
    <n v="130000"/>
    <n v="5"/>
    <x v="2"/>
    <s v="Professional"/>
    <s v="Yes"/>
    <n v="4"/>
    <x v="3"/>
    <x v="2"/>
    <n v="59"/>
    <x v="1"/>
    <x v="1"/>
  </r>
  <r>
    <n v="12666"/>
    <x v="1"/>
    <x v="0"/>
    <n v="60000"/>
    <n v="0"/>
    <x v="0"/>
    <s v="Professional"/>
    <s v="No"/>
    <n v="4"/>
    <x v="2"/>
    <x v="0"/>
    <n v="31"/>
    <x v="0"/>
    <x v="1"/>
  </r>
  <r>
    <n v="12678"/>
    <x v="1"/>
    <x v="1"/>
    <n v="130000"/>
    <n v="4"/>
    <x v="1"/>
    <s v="Management"/>
    <s v="Yes"/>
    <n v="4"/>
    <x v="3"/>
    <x v="0"/>
    <n v="31"/>
    <x v="0"/>
    <x v="1"/>
  </r>
  <r>
    <n v="12697"/>
    <x v="1"/>
    <x v="1"/>
    <n v="90000"/>
    <n v="0"/>
    <x v="0"/>
    <s v="Professional"/>
    <s v="No"/>
    <n v="4"/>
    <x v="4"/>
    <x v="0"/>
    <n v="36"/>
    <x v="0"/>
    <x v="1"/>
  </r>
  <r>
    <n v="12705"/>
    <x v="0"/>
    <x v="0"/>
    <n v="150000"/>
    <n v="0"/>
    <x v="0"/>
    <s v="Management"/>
    <s v="Yes"/>
    <n v="4"/>
    <x v="3"/>
    <x v="0"/>
    <n v="37"/>
    <x v="0"/>
    <x v="0"/>
  </r>
  <r>
    <n v="12716"/>
    <x v="1"/>
    <x v="0"/>
    <n v="30000"/>
    <n v="0"/>
    <x v="2"/>
    <s v="Clerical"/>
    <s v="Yes"/>
    <n v="1"/>
    <x v="2"/>
    <x v="2"/>
    <n v="32"/>
    <x v="0"/>
    <x v="1"/>
  </r>
  <r>
    <n v="12718"/>
    <x v="1"/>
    <x v="1"/>
    <n v="30000"/>
    <n v="0"/>
    <x v="2"/>
    <s v="Clerical"/>
    <s v="Yes"/>
    <n v="1"/>
    <x v="2"/>
    <x v="2"/>
    <n v="31"/>
    <x v="0"/>
    <x v="1"/>
  </r>
  <r>
    <n v="12728"/>
    <x v="1"/>
    <x v="0"/>
    <n v="30000"/>
    <n v="0"/>
    <x v="2"/>
    <s v="Clerical"/>
    <s v="No"/>
    <n v="1"/>
    <x v="0"/>
    <x v="2"/>
    <n v="27"/>
    <x v="2"/>
    <x v="1"/>
  </r>
  <r>
    <n v="12731"/>
    <x v="1"/>
    <x v="0"/>
    <n v="30000"/>
    <n v="0"/>
    <x v="1"/>
    <s v="Manual"/>
    <s v="No"/>
    <n v="1"/>
    <x v="0"/>
    <x v="2"/>
    <n v="32"/>
    <x v="0"/>
    <x v="1"/>
  </r>
  <r>
    <n v="12744"/>
    <x v="1"/>
    <x v="1"/>
    <n v="40000"/>
    <n v="2"/>
    <x v="2"/>
    <s v="Clerical"/>
    <s v="Yes"/>
    <n v="0"/>
    <x v="3"/>
    <x v="2"/>
    <n v="33"/>
    <x v="0"/>
    <x v="1"/>
  </r>
  <r>
    <n v="12768"/>
    <x v="0"/>
    <x v="0"/>
    <n v="30000"/>
    <n v="1"/>
    <x v="1"/>
    <s v="Clerical"/>
    <s v="Yes"/>
    <n v="1"/>
    <x v="2"/>
    <x v="1"/>
    <n v="52"/>
    <x v="0"/>
    <x v="0"/>
  </r>
  <r>
    <n v="12774"/>
    <x v="0"/>
    <x v="1"/>
    <n v="40000"/>
    <n v="1"/>
    <x v="2"/>
    <s v="Clerical"/>
    <s v="Yes"/>
    <n v="1"/>
    <x v="0"/>
    <x v="1"/>
    <n v="51"/>
    <x v="0"/>
    <x v="0"/>
  </r>
  <r>
    <n v="12808"/>
    <x v="0"/>
    <x v="0"/>
    <n v="40000"/>
    <n v="0"/>
    <x v="0"/>
    <s v="Clerical"/>
    <s v="Yes"/>
    <n v="0"/>
    <x v="3"/>
    <x v="2"/>
    <n v="38"/>
    <x v="0"/>
    <x v="0"/>
  </r>
  <r>
    <n v="12821"/>
    <x v="0"/>
    <x v="0"/>
    <n v="40000"/>
    <n v="0"/>
    <x v="0"/>
    <s v="Clerical"/>
    <s v="Yes"/>
    <n v="0"/>
    <x v="3"/>
    <x v="2"/>
    <n v="39"/>
    <x v="0"/>
    <x v="1"/>
  </r>
  <r>
    <n v="12833"/>
    <x v="1"/>
    <x v="1"/>
    <n v="20000"/>
    <n v="3"/>
    <x v="1"/>
    <s v="Manual"/>
    <s v="Yes"/>
    <n v="1"/>
    <x v="3"/>
    <x v="2"/>
    <n v="42"/>
    <x v="0"/>
    <x v="0"/>
  </r>
  <r>
    <n v="12871"/>
    <x v="1"/>
    <x v="1"/>
    <n v="30000"/>
    <n v="0"/>
    <x v="2"/>
    <s v="Clerical"/>
    <s v="No"/>
    <n v="1"/>
    <x v="2"/>
    <x v="2"/>
    <n v="29"/>
    <x v="2"/>
    <x v="1"/>
  </r>
  <r>
    <n v="12882"/>
    <x v="0"/>
    <x v="0"/>
    <n v="50000"/>
    <n v="1"/>
    <x v="3"/>
    <s v="Skilled Manual"/>
    <s v="Yes"/>
    <n v="0"/>
    <x v="3"/>
    <x v="1"/>
    <n v="33"/>
    <x v="0"/>
    <x v="0"/>
  </r>
  <r>
    <n v="12922"/>
    <x v="1"/>
    <x v="1"/>
    <n v="60000"/>
    <n v="3"/>
    <x v="0"/>
    <s v="Skilled Manual"/>
    <s v="Yes"/>
    <n v="0"/>
    <x v="2"/>
    <x v="1"/>
    <n v="40"/>
    <x v="0"/>
    <x v="0"/>
  </r>
  <r>
    <n v="12957"/>
    <x v="1"/>
    <x v="1"/>
    <n v="70000"/>
    <n v="1"/>
    <x v="0"/>
    <s v="Professional"/>
    <s v="No"/>
    <n v="1"/>
    <x v="3"/>
    <x v="1"/>
    <n v="44"/>
    <x v="0"/>
    <x v="1"/>
  </r>
  <r>
    <n v="12964"/>
    <x v="0"/>
    <x v="0"/>
    <n v="70000"/>
    <n v="1"/>
    <x v="2"/>
    <s v="Skilled Manual"/>
    <s v="Yes"/>
    <n v="1"/>
    <x v="3"/>
    <x v="1"/>
    <n v="44"/>
    <x v="0"/>
    <x v="1"/>
  </r>
  <r>
    <n v="12993"/>
    <x v="0"/>
    <x v="0"/>
    <n v="60000"/>
    <n v="2"/>
    <x v="0"/>
    <s v="Professional"/>
    <s v="Yes"/>
    <n v="1"/>
    <x v="2"/>
    <x v="0"/>
    <n v="37"/>
    <x v="0"/>
    <x v="1"/>
  </r>
  <r>
    <n v="13066"/>
    <x v="1"/>
    <x v="0"/>
    <n v="30000"/>
    <n v="0"/>
    <x v="1"/>
    <s v="Skilled Manual"/>
    <s v="No"/>
    <n v="2"/>
    <x v="0"/>
    <x v="1"/>
    <n v="31"/>
    <x v="0"/>
    <x v="0"/>
  </r>
  <r>
    <n v="13073"/>
    <x v="0"/>
    <x v="1"/>
    <n v="60000"/>
    <n v="0"/>
    <x v="2"/>
    <s v="Professional"/>
    <s v="Yes"/>
    <n v="2"/>
    <x v="1"/>
    <x v="1"/>
    <n v="30"/>
    <x v="2"/>
    <x v="1"/>
  </r>
  <r>
    <n v="13082"/>
    <x v="1"/>
    <x v="0"/>
    <n v="130000"/>
    <n v="0"/>
    <x v="3"/>
    <s v="Management"/>
    <s v="Yes"/>
    <n v="0"/>
    <x v="2"/>
    <x v="0"/>
    <n v="48"/>
    <x v="0"/>
    <x v="0"/>
  </r>
  <r>
    <n v="13089"/>
    <x v="0"/>
    <x v="1"/>
    <n v="120000"/>
    <n v="1"/>
    <x v="0"/>
    <s v="Management"/>
    <s v="Yes"/>
    <n v="2"/>
    <x v="3"/>
    <x v="0"/>
    <n v="46"/>
    <x v="0"/>
    <x v="0"/>
  </r>
  <r>
    <n v="13122"/>
    <x v="0"/>
    <x v="1"/>
    <n v="80000"/>
    <n v="0"/>
    <x v="0"/>
    <s v="Professional"/>
    <s v="Yes"/>
    <n v="1"/>
    <x v="0"/>
    <x v="0"/>
    <n v="41"/>
    <x v="0"/>
    <x v="0"/>
  </r>
  <r>
    <n v="13133"/>
    <x v="1"/>
    <x v="0"/>
    <n v="100000"/>
    <n v="5"/>
    <x v="0"/>
    <s v="Professional"/>
    <s v="Yes"/>
    <n v="1"/>
    <x v="1"/>
    <x v="0"/>
    <n v="47"/>
    <x v="0"/>
    <x v="0"/>
  </r>
  <r>
    <n v="13136"/>
    <x v="0"/>
    <x v="1"/>
    <n v="30000"/>
    <n v="2"/>
    <x v="2"/>
    <s v="Clerical"/>
    <s v="No"/>
    <n v="2"/>
    <x v="1"/>
    <x v="0"/>
    <n v="69"/>
    <x v="1"/>
    <x v="1"/>
  </r>
  <r>
    <n v="13151"/>
    <x v="1"/>
    <x v="0"/>
    <n v="40000"/>
    <n v="0"/>
    <x v="1"/>
    <s v="Skilled Manual"/>
    <s v="Yes"/>
    <n v="2"/>
    <x v="1"/>
    <x v="1"/>
    <n v="27"/>
    <x v="2"/>
    <x v="1"/>
  </r>
  <r>
    <n v="13154"/>
    <x v="0"/>
    <x v="0"/>
    <n v="40000"/>
    <n v="0"/>
    <x v="1"/>
    <s v="Skilled Manual"/>
    <s v="No"/>
    <n v="2"/>
    <x v="3"/>
    <x v="1"/>
    <n v="27"/>
    <x v="2"/>
    <x v="0"/>
  </r>
  <r>
    <n v="13176"/>
    <x v="1"/>
    <x v="0"/>
    <n v="130000"/>
    <n v="0"/>
    <x v="3"/>
    <s v="Management"/>
    <s v="No"/>
    <n v="2"/>
    <x v="3"/>
    <x v="1"/>
    <n v="38"/>
    <x v="0"/>
    <x v="0"/>
  </r>
  <r>
    <n v="13216"/>
    <x v="0"/>
    <x v="1"/>
    <n v="60000"/>
    <n v="5"/>
    <x v="0"/>
    <s v="Management"/>
    <s v="Yes"/>
    <n v="3"/>
    <x v="4"/>
    <x v="1"/>
    <n v="59"/>
    <x v="1"/>
    <x v="1"/>
  </r>
  <r>
    <n v="13233"/>
    <x v="0"/>
    <x v="0"/>
    <n v="60000"/>
    <n v="2"/>
    <x v="2"/>
    <s v="Professional"/>
    <s v="Yes"/>
    <n v="1"/>
    <x v="4"/>
    <x v="1"/>
    <n v="57"/>
    <x v="1"/>
    <x v="0"/>
  </r>
  <r>
    <n v="13283"/>
    <x v="0"/>
    <x v="0"/>
    <n v="80000"/>
    <n v="3"/>
    <x v="2"/>
    <s v="Professional"/>
    <s v="No"/>
    <n v="2"/>
    <x v="3"/>
    <x v="1"/>
    <n v="49"/>
    <x v="0"/>
    <x v="0"/>
  </r>
  <r>
    <n v="13287"/>
    <x v="1"/>
    <x v="0"/>
    <n v="110000"/>
    <n v="4"/>
    <x v="0"/>
    <s v="Management"/>
    <s v="Yes"/>
    <n v="4"/>
    <x v="1"/>
    <x v="1"/>
    <n v="42"/>
    <x v="0"/>
    <x v="0"/>
  </r>
  <r>
    <n v="13296"/>
    <x v="0"/>
    <x v="0"/>
    <n v="110000"/>
    <n v="1"/>
    <x v="0"/>
    <s v="Management"/>
    <s v="Yes"/>
    <n v="3"/>
    <x v="1"/>
    <x v="1"/>
    <n v="45"/>
    <x v="0"/>
    <x v="1"/>
  </r>
  <r>
    <n v="13313"/>
    <x v="0"/>
    <x v="1"/>
    <n v="120000"/>
    <n v="1"/>
    <x v="1"/>
    <s v="Professional"/>
    <s v="No"/>
    <n v="4"/>
    <x v="2"/>
    <x v="1"/>
    <n v="45"/>
    <x v="0"/>
    <x v="1"/>
  </r>
  <r>
    <n v="13314"/>
    <x v="0"/>
    <x v="0"/>
    <n v="120000"/>
    <n v="1"/>
    <x v="1"/>
    <s v="Professional"/>
    <s v="Yes"/>
    <n v="4"/>
    <x v="1"/>
    <x v="1"/>
    <n v="46"/>
    <x v="0"/>
    <x v="0"/>
  </r>
  <r>
    <n v="13337"/>
    <x v="0"/>
    <x v="1"/>
    <n v="80000"/>
    <n v="5"/>
    <x v="0"/>
    <s v="Management"/>
    <s v="Yes"/>
    <n v="2"/>
    <x v="1"/>
    <x v="1"/>
    <n v="64"/>
    <x v="1"/>
    <x v="1"/>
  </r>
  <r>
    <n v="13343"/>
    <x v="0"/>
    <x v="1"/>
    <n v="90000"/>
    <n v="5"/>
    <x v="0"/>
    <s v="Management"/>
    <s v="Yes"/>
    <n v="2"/>
    <x v="0"/>
    <x v="1"/>
    <n v="63"/>
    <x v="1"/>
    <x v="0"/>
  </r>
  <r>
    <n v="13351"/>
    <x v="1"/>
    <x v="1"/>
    <n v="70000"/>
    <n v="4"/>
    <x v="0"/>
    <s v="Management"/>
    <s v="Yes"/>
    <n v="2"/>
    <x v="0"/>
    <x v="1"/>
    <n v="62"/>
    <x v="1"/>
    <x v="0"/>
  </r>
  <r>
    <n v="13353"/>
    <x v="1"/>
    <x v="1"/>
    <n v="60000"/>
    <n v="4"/>
    <x v="3"/>
    <s v="Management"/>
    <s v="Yes"/>
    <n v="2"/>
    <x v="4"/>
    <x v="1"/>
    <n v="61"/>
    <x v="1"/>
    <x v="0"/>
  </r>
  <r>
    <n v="13382"/>
    <x v="0"/>
    <x v="0"/>
    <n v="70000"/>
    <n v="5"/>
    <x v="2"/>
    <s v="Professional"/>
    <s v="Yes"/>
    <n v="2"/>
    <x v="0"/>
    <x v="1"/>
    <n v="57"/>
    <x v="1"/>
    <x v="0"/>
  </r>
  <r>
    <n v="13388"/>
    <x v="1"/>
    <x v="0"/>
    <n v="60000"/>
    <n v="2"/>
    <x v="2"/>
    <s v="Professional"/>
    <s v="Yes"/>
    <n v="1"/>
    <x v="4"/>
    <x v="1"/>
    <n v="56"/>
    <x v="1"/>
    <x v="1"/>
  </r>
  <r>
    <n v="13390"/>
    <x v="0"/>
    <x v="1"/>
    <n v="70000"/>
    <n v="4"/>
    <x v="2"/>
    <s v="Professional"/>
    <s v="No"/>
    <n v="1"/>
    <x v="0"/>
    <x v="1"/>
    <n v="56"/>
    <x v="1"/>
    <x v="1"/>
  </r>
  <r>
    <n v="13415"/>
    <x v="1"/>
    <x v="0"/>
    <n v="100000"/>
    <n v="1"/>
    <x v="3"/>
    <s v="Management"/>
    <s v="Yes"/>
    <n v="3"/>
    <x v="2"/>
    <x v="1"/>
    <n v="73"/>
    <x v="1"/>
    <x v="0"/>
  </r>
  <r>
    <n v="13453"/>
    <x v="0"/>
    <x v="1"/>
    <n v="130000"/>
    <n v="3"/>
    <x v="0"/>
    <s v="Management"/>
    <s v="Yes"/>
    <n v="3"/>
    <x v="3"/>
    <x v="1"/>
    <n v="45"/>
    <x v="0"/>
    <x v="0"/>
  </r>
  <r>
    <n v="13466"/>
    <x v="0"/>
    <x v="0"/>
    <n v="80000"/>
    <n v="5"/>
    <x v="2"/>
    <s v="Professional"/>
    <s v="Yes"/>
    <n v="3"/>
    <x v="0"/>
    <x v="1"/>
    <n v="46"/>
    <x v="0"/>
    <x v="1"/>
  </r>
  <r>
    <n v="13507"/>
    <x v="0"/>
    <x v="1"/>
    <n v="10000"/>
    <n v="2"/>
    <x v="2"/>
    <s v="Manual"/>
    <s v="Yes"/>
    <n v="0"/>
    <x v="0"/>
    <x v="2"/>
    <n v="50"/>
    <x v="0"/>
    <x v="1"/>
  </r>
  <r>
    <n v="13572"/>
    <x v="1"/>
    <x v="0"/>
    <n v="10000"/>
    <n v="3"/>
    <x v="1"/>
    <s v="Manual"/>
    <s v="Yes"/>
    <n v="0"/>
    <x v="3"/>
    <x v="2"/>
    <n v="37"/>
    <x v="0"/>
    <x v="0"/>
  </r>
  <r>
    <n v="13585"/>
    <x v="0"/>
    <x v="1"/>
    <n v="80000"/>
    <n v="4"/>
    <x v="2"/>
    <s v="Professional"/>
    <s v="No"/>
    <n v="1"/>
    <x v="2"/>
    <x v="2"/>
    <n v="53"/>
    <x v="0"/>
    <x v="0"/>
  </r>
  <r>
    <n v="13586"/>
    <x v="0"/>
    <x v="0"/>
    <n v="80000"/>
    <n v="4"/>
    <x v="2"/>
    <s v="Professional"/>
    <s v="Yes"/>
    <n v="2"/>
    <x v="4"/>
    <x v="2"/>
    <n v="53"/>
    <x v="0"/>
    <x v="1"/>
  </r>
  <r>
    <n v="13620"/>
    <x v="1"/>
    <x v="0"/>
    <n v="70000"/>
    <n v="0"/>
    <x v="0"/>
    <s v="Professional"/>
    <s v="No"/>
    <n v="3"/>
    <x v="4"/>
    <x v="0"/>
    <n v="30"/>
    <x v="2"/>
    <x v="0"/>
  </r>
  <r>
    <n v="13662"/>
    <x v="1"/>
    <x v="0"/>
    <n v="20000"/>
    <n v="0"/>
    <x v="4"/>
    <s v="Manual"/>
    <s v="Yes"/>
    <n v="2"/>
    <x v="0"/>
    <x v="2"/>
    <n v="31"/>
    <x v="0"/>
    <x v="0"/>
  </r>
  <r>
    <n v="13673"/>
    <x v="1"/>
    <x v="1"/>
    <n v="20000"/>
    <n v="0"/>
    <x v="4"/>
    <s v="Manual"/>
    <s v="No"/>
    <n v="2"/>
    <x v="3"/>
    <x v="2"/>
    <n v="25"/>
    <x v="2"/>
    <x v="1"/>
  </r>
  <r>
    <n v="13683"/>
    <x v="1"/>
    <x v="1"/>
    <n v="30000"/>
    <n v="0"/>
    <x v="1"/>
    <s v="Manual"/>
    <s v="No"/>
    <n v="1"/>
    <x v="2"/>
    <x v="2"/>
    <n v="32"/>
    <x v="0"/>
    <x v="1"/>
  </r>
  <r>
    <n v="13687"/>
    <x v="0"/>
    <x v="0"/>
    <n v="40000"/>
    <n v="1"/>
    <x v="0"/>
    <s v="Skilled Manual"/>
    <s v="Yes"/>
    <n v="1"/>
    <x v="3"/>
    <x v="2"/>
    <n v="33"/>
    <x v="0"/>
    <x v="0"/>
  </r>
  <r>
    <n v="13690"/>
    <x v="1"/>
    <x v="1"/>
    <n v="20000"/>
    <n v="0"/>
    <x v="4"/>
    <s v="Manual"/>
    <s v="No"/>
    <n v="2"/>
    <x v="0"/>
    <x v="2"/>
    <n v="34"/>
    <x v="0"/>
    <x v="0"/>
  </r>
  <r>
    <n v="13714"/>
    <x v="0"/>
    <x v="1"/>
    <n v="20000"/>
    <n v="2"/>
    <x v="1"/>
    <s v="Manual"/>
    <s v="No"/>
    <n v="2"/>
    <x v="0"/>
    <x v="1"/>
    <n v="53"/>
    <x v="0"/>
    <x v="0"/>
  </r>
  <r>
    <n v="13749"/>
    <x v="0"/>
    <x v="0"/>
    <n v="80000"/>
    <n v="4"/>
    <x v="3"/>
    <s v="Skilled Manual"/>
    <s v="Yes"/>
    <n v="0"/>
    <x v="0"/>
    <x v="1"/>
    <n v="47"/>
    <x v="0"/>
    <x v="1"/>
  </r>
  <r>
    <n v="13754"/>
    <x v="1"/>
    <x v="1"/>
    <n v="80000"/>
    <n v="4"/>
    <x v="3"/>
    <s v="Skilled Manual"/>
    <s v="Yes"/>
    <n v="0"/>
    <x v="0"/>
    <x v="1"/>
    <n v="48"/>
    <x v="0"/>
    <x v="1"/>
  </r>
  <r>
    <n v="13760"/>
    <x v="0"/>
    <x v="0"/>
    <n v="60000"/>
    <n v="4"/>
    <x v="3"/>
    <s v="Skilled Manual"/>
    <s v="No"/>
    <n v="0"/>
    <x v="3"/>
    <x v="1"/>
    <n v="47"/>
    <x v="0"/>
    <x v="1"/>
  </r>
  <r>
    <n v="13813"/>
    <x v="0"/>
    <x v="1"/>
    <n v="30000"/>
    <n v="3"/>
    <x v="2"/>
    <s v="Clerical"/>
    <s v="No"/>
    <n v="0"/>
    <x v="3"/>
    <x v="2"/>
    <n v="42"/>
    <x v="0"/>
    <x v="1"/>
  </r>
  <r>
    <n v="13826"/>
    <x v="1"/>
    <x v="1"/>
    <n v="30000"/>
    <n v="0"/>
    <x v="2"/>
    <s v="Clerical"/>
    <s v="No"/>
    <n v="1"/>
    <x v="3"/>
    <x v="2"/>
    <n v="28"/>
    <x v="2"/>
    <x v="1"/>
  </r>
  <r>
    <n v="13873"/>
    <x v="0"/>
    <x v="0"/>
    <n v="70000"/>
    <n v="3"/>
    <x v="3"/>
    <s v="Professional"/>
    <s v="Yes"/>
    <n v="0"/>
    <x v="3"/>
    <x v="1"/>
    <n v="35"/>
    <x v="0"/>
    <x v="0"/>
  </r>
  <r>
    <n v="13886"/>
    <x v="0"/>
    <x v="1"/>
    <n v="70000"/>
    <n v="4"/>
    <x v="3"/>
    <s v="Professional"/>
    <s v="Yes"/>
    <n v="0"/>
    <x v="2"/>
    <x v="1"/>
    <n v="35"/>
    <x v="0"/>
    <x v="0"/>
  </r>
  <r>
    <n v="13907"/>
    <x v="1"/>
    <x v="1"/>
    <n v="80000"/>
    <n v="3"/>
    <x v="0"/>
    <s v="Skilled Manual"/>
    <s v="Yes"/>
    <n v="1"/>
    <x v="3"/>
    <x v="1"/>
    <n v="41"/>
    <x v="0"/>
    <x v="0"/>
  </r>
  <r>
    <n v="13911"/>
    <x v="1"/>
    <x v="1"/>
    <n v="80000"/>
    <n v="3"/>
    <x v="0"/>
    <s v="Skilled Manual"/>
    <s v="Yes"/>
    <n v="2"/>
    <x v="2"/>
    <x v="1"/>
    <n v="41"/>
    <x v="0"/>
    <x v="0"/>
  </r>
  <r>
    <n v="13920"/>
    <x v="1"/>
    <x v="1"/>
    <n v="50000"/>
    <n v="4"/>
    <x v="0"/>
    <s v="Skilled Manual"/>
    <s v="Yes"/>
    <n v="2"/>
    <x v="3"/>
    <x v="1"/>
    <n v="42"/>
    <x v="0"/>
    <x v="1"/>
  </r>
  <r>
    <n v="13934"/>
    <x v="0"/>
    <x v="0"/>
    <n v="40000"/>
    <n v="4"/>
    <x v="1"/>
    <s v="Skilled Manual"/>
    <s v="Yes"/>
    <n v="2"/>
    <x v="2"/>
    <x v="1"/>
    <n v="46"/>
    <x v="0"/>
    <x v="1"/>
  </r>
  <r>
    <n v="13942"/>
    <x v="0"/>
    <x v="0"/>
    <n v="60000"/>
    <n v="1"/>
    <x v="2"/>
    <s v="Skilled Manual"/>
    <s v="Yes"/>
    <n v="1"/>
    <x v="3"/>
    <x v="1"/>
    <n v="46"/>
    <x v="0"/>
    <x v="1"/>
  </r>
  <r>
    <n v="13961"/>
    <x v="0"/>
    <x v="1"/>
    <n v="80000"/>
    <n v="5"/>
    <x v="3"/>
    <s v="Management"/>
    <s v="Yes"/>
    <n v="3"/>
    <x v="3"/>
    <x v="0"/>
    <n v="40"/>
    <x v="0"/>
    <x v="1"/>
  </r>
  <r>
    <n v="13981"/>
    <x v="0"/>
    <x v="1"/>
    <n v="10000"/>
    <n v="5"/>
    <x v="1"/>
    <s v="Skilled Manual"/>
    <s v="No"/>
    <n v="3"/>
    <x v="0"/>
    <x v="0"/>
    <n v="62"/>
    <x v="1"/>
    <x v="1"/>
  </r>
  <r>
    <n v="14032"/>
    <x v="0"/>
    <x v="0"/>
    <n v="70000"/>
    <n v="2"/>
    <x v="1"/>
    <s v="Skilled Manual"/>
    <s v="No"/>
    <n v="2"/>
    <x v="0"/>
    <x v="0"/>
    <n v="50"/>
    <x v="0"/>
    <x v="0"/>
  </r>
  <r>
    <n v="14058"/>
    <x v="1"/>
    <x v="0"/>
    <n v="70000"/>
    <n v="0"/>
    <x v="0"/>
    <s v="Professional"/>
    <s v="No"/>
    <n v="1"/>
    <x v="1"/>
    <x v="0"/>
    <n v="41"/>
    <x v="0"/>
    <x v="0"/>
  </r>
  <r>
    <n v="14063"/>
    <x v="1"/>
    <x v="1"/>
    <n v="70000"/>
    <n v="0"/>
    <x v="0"/>
    <s v="Professional"/>
    <s v="No"/>
    <n v="1"/>
    <x v="3"/>
    <x v="0"/>
    <n v="42"/>
    <x v="0"/>
    <x v="0"/>
  </r>
  <r>
    <n v="14077"/>
    <x v="1"/>
    <x v="0"/>
    <n v="30000"/>
    <n v="0"/>
    <x v="1"/>
    <s v="Skilled Manual"/>
    <s v="Yes"/>
    <n v="2"/>
    <x v="1"/>
    <x v="1"/>
    <n v="30"/>
    <x v="2"/>
    <x v="1"/>
  </r>
  <r>
    <n v="14090"/>
    <x v="0"/>
    <x v="1"/>
    <n v="30000"/>
    <n v="0"/>
    <x v="4"/>
    <s v="Clerical"/>
    <s v="No"/>
    <n v="2"/>
    <x v="3"/>
    <x v="1"/>
    <n v="28"/>
    <x v="2"/>
    <x v="1"/>
  </r>
  <r>
    <n v="14092"/>
    <x v="1"/>
    <x v="0"/>
    <n v="30000"/>
    <n v="0"/>
    <x v="4"/>
    <s v="Clerical"/>
    <s v="Yes"/>
    <n v="2"/>
    <x v="1"/>
    <x v="1"/>
    <n v="28"/>
    <x v="2"/>
    <x v="1"/>
  </r>
  <r>
    <n v="14135"/>
    <x v="0"/>
    <x v="0"/>
    <n v="20000"/>
    <n v="1"/>
    <x v="2"/>
    <s v="Manual"/>
    <s v="Yes"/>
    <n v="0"/>
    <x v="0"/>
    <x v="2"/>
    <n v="35"/>
    <x v="0"/>
    <x v="1"/>
  </r>
  <r>
    <n v="14154"/>
    <x v="0"/>
    <x v="0"/>
    <n v="30000"/>
    <n v="0"/>
    <x v="0"/>
    <s v="Clerical"/>
    <s v="Yes"/>
    <n v="0"/>
    <x v="3"/>
    <x v="2"/>
    <n v="35"/>
    <x v="0"/>
    <x v="0"/>
  </r>
  <r>
    <n v="14164"/>
    <x v="1"/>
    <x v="1"/>
    <n v="50000"/>
    <n v="0"/>
    <x v="3"/>
    <s v="Skilled Manual"/>
    <s v="Yes"/>
    <n v="0"/>
    <x v="3"/>
    <x v="2"/>
    <n v="36"/>
    <x v="0"/>
    <x v="0"/>
  </r>
  <r>
    <n v="14177"/>
    <x v="0"/>
    <x v="0"/>
    <n v="80000"/>
    <n v="5"/>
    <x v="2"/>
    <s v="Professional"/>
    <s v="No"/>
    <n v="2"/>
    <x v="2"/>
    <x v="2"/>
    <n v="60"/>
    <x v="1"/>
    <x v="1"/>
  </r>
  <r>
    <n v="14189"/>
    <x v="0"/>
    <x v="1"/>
    <n v="90000"/>
    <n v="4"/>
    <x v="1"/>
    <s v="Professional"/>
    <s v="No"/>
    <n v="2"/>
    <x v="2"/>
    <x v="2"/>
    <n v="54"/>
    <x v="1"/>
    <x v="0"/>
  </r>
  <r>
    <n v="14191"/>
    <x v="0"/>
    <x v="0"/>
    <n v="160000"/>
    <n v="4"/>
    <x v="2"/>
    <s v="Professional"/>
    <s v="No"/>
    <n v="2"/>
    <x v="4"/>
    <x v="2"/>
    <n v="55"/>
    <x v="1"/>
    <x v="0"/>
  </r>
  <r>
    <n v="14192"/>
    <x v="0"/>
    <x v="0"/>
    <n v="90000"/>
    <n v="4"/>
    <x v="1"/>
    <s v="Management"/>
    <s v="Yes"/>
    <n v="3"/>
    <x v="1"/>
    <x v="2"/>
    <n v="56"/>
    <x v="1"/>
    <x v="0"/>
  </r>
  <r>
    <n v="14193"/>
    <x v="1"/>
    <x v="1"/>
    <n v="100000"/>
    <n v="3"/>
    <x v="2"/>
    <s v="Management"/>
    <s v="Yes"/>
    <n v="4"/>
    <x v="4"/>
    <x v="2"/>
    <n v="56"/>
    <x v="1"/>
    <x v="1"/>
  </r>
  <r>
    <n v="14233"/>
    <x v="1"/>
    <x v="0"/>
    <n v="100000"/>
    <n v="0"/>
    <x v="1"/>
    <s v="Management"/>
    <s v="Yes"/>
    <n v="3"/>
    <x v="4"/>
    <x v="0"/>
    <n v="35"/>
    <x v="0"/>
    <x v="1"/>
  </r>
  <r>
    <n v="14238"/>
    <x v="0"/>
    <x v="0"/>
    <n v="120000"/>
    <n v="0"/>
    <x v="4"/>
    <s v="Professional"/>
    <s v="Yes"/>
    <n v="4"/>
    <x v="4"/>
    <x v="0"/>
    <n v="36"/>
    <x v="0"/>
    <x v="0"/>
  </r>
  <r>
    <n v="14271"/>
    <x v="0"/>
    <x v="0"/>
    <n v="30000"/>
    <n v="0"/>
    <x v="1"/>
    <s v="Skilled Manual"/>
    <s v="Yes"/>
    <n v="2"/>
    <x v="1"/>
    <x v="1"/>
    <n v="32"/>
    <x v="0"/>
    <x v="1"/>
  </r>
  <r>
    <n v="14278"/>
    <x v="0"/>
    <x v="1"/>
    <n v="130000"/>
    <n v="0"/>
    <x v="3"/>
    <s v="Management"/>
    <s v="Yes"/>
    <n v="1"/>
    <x v="4"/>
    <x v="0"/>
    <n v="48"/>
    <x v="0"/>
    <x v="1"/>
  </r>
  <r>
    <n v="14284"/>
    <x v="1"/>
    <x v="0"/>
    <n v="60000"/>
    <n v="0"/>
    <x v="2"/>
    <s v="Professional"/>
    <s v="No"/>
    <n v="2"/>
    <x v="0"/>
    <x v="1"/>
    <n v="32"/>
    <x v="0"/>
    <x v="0"/>
  </r>
  <r>
    <n v="14312"/>
    <x v="0"/>
    <x v="1"/>
    <n v="60000"/>
    <n v="1"/>
    <x v="2"/>
    <s v="Skilled Manual"/>
    <s v="Yes"/>
    <n v="1"/>
    <x v="1"/>
    <x v="0"/>
    <n v="45"/>
    <x v="0"/>
    <x v="1"/>
  </r>
  <r>
    <n v="14332"/>
    <x v="1"/>
    <x v="1"/>
    <n v="30000"/>
    <n v="0"/>
    <x v="1"/>
    <s v="Skilled Manual"/>
    <s v="No"/>
    <n v="2"/>
    <x v="1"/>
    <x v="1"/>
    <n v="26"/>
    <x v="2"/>
    <x v="1"/>
  </r>
  <r>
    <n v="14347"/>
    <x v="1"/>
    <x v="1"/>
    <n v="40000"/>
    <n v="2"/>
    <x v="0"/>
    <s v="Management"/>
    <s v="Yes"/>
    <n v="2"/>
    <x v="1"/>
    <x v="0"/>
    <n v="65"/>
    <x v="1"/>
    <x v="0"/>
  </r>
  <r>
    <n v="14389"/>
    <x v="0"/>
    <x v="0"/>
    <n v="60000"/>
    <n v="2"/>
    <x v="0"/>
    <s v="Management"/>
    <s v="Yes"/>
    <n v="0"/>
    <x v="2"/>
    <x v="1"/>
    <n v="59"/>
    <x v="1"/>
    <x v="1"/>
  </r>
  <r>
    <n v="14417"/>
    <x v="1"/>
    <x v="0"/>
    <n v="60000"/>
    <n v="3"/>
    <x v="1"/>
    <s v="Professional"/>
    <s v="Yes"/>
    <n v="2"/>
    <x v="4"/>
    <x v="1"/>
    <n v="54"/>
    <x v="1"/>
    <x v="0"/>
  </r>
  <r>
    <n v="14432"/>
    <x v="1"/>
    <x v="0"/>
    <n v="90000"/>
    <n v="4"/>
    <x v="3"/>
    <s v="Management"/>
    <s v="Yes"/>
    <n v="1"/>
    <x v="1"/>
    <x v="1"/>
    <n v="73"/>
    <x v="1"/>
    <x v="1"/>
  </r>
  <r>
    <n v="14443"/>
    <x v="0"/>
    <x v="0"/>
    <n v="130000"/>
    <n v="1"/>
    <x v="3"/>
    <s v="Management"/>
    <s v="Yes"/>
    <n v="4"/>
    <x v="3"/>
    <x v="1"/>
    <n v="40"/>
    <x v="0"/>
    <x v="1"/>
  </r>
  <r>
    <n v="14469"/>
    <x v="0"/>
    <x v="1"/>
    <n v="100000"/>
    <n v="3"/>
    <x v="2"/>
    <s v="Professional"/>
    <s v="Yes"/>
    <n v="4"/>
    <x v="0"/>
    <x v="1"/>
    <n v="45"/>
    <x v="0"/>
    <x v="1"/>
  </r>
  <r>
    <n v="14493"/>
    <x v="1"/>
    <x v="1"/>
    <n v="70000"/>
    <n v="3"/>
    <x v="3"/>
    <s v="Management"/>
    <s v="No"/>
    <n v="2"/>
    <x v="0"/>
    <x v="1"/>
    <n v="53"/>
    <x v="0"/>
    <x v="1"/>
  </r>
  <r>
    <n v="14495"/>
    <x v="0"/>
    <x v="0"/>
    <n v="40000"/>
    <n v="3"/>
    <x v="2"/>
    <s v="Professional"/>
    <s v="No"/>
    <n v="2"/>
    <x v="1"/>
    <x v="1"/>
    <n v="54"/>
    <x v="1"/>
    <x v="0"/>
  </r>
  <r>
    <n v="14507"/>
    <x v="0"/>
    <x v="0"/>
    <n v="100000"/>
    <n v="2"/>
    <x v="3"/>
    <s v="Management"/>
    <s v="Yes"/>
    <n v="3"/>
    <x v="0"/>
    <x v="1"/>
    <n v="65"/>
    <x v="1"/>
    <x v="1"/>
  </r>
  <r>
    <n v="14514"/>
    <x v="1"/>
    <x v="1"/>
    <n v="30000"/>
    <n v="0"/>
    <x v="2"/>
    <s v="Skilled Manual"/>
    <s v="Yes"/>
    <n v="1"/>
    <x v="1"/>
    <x v="1"/>
    <n v="26"/>
    <x v="2"/>
    <x v="1"/>
  </r>
  <r>
    <n v="14517"/>
    <x v="0"/>
    <x v="1"/>
    <n v="20000"/>
    <n v="3"/>
    <x v="1"/>
    <s v="Skilled Manual"/>
    <s v="No"/>
    <n v="2"/>
    <x v="0"/>
    <x v="0"/>
    <n v="62"/>
    <x v="1"/>
    <x v="1"/>
  </r>
  <r>
    <n v="14544"/>
    <x v="1"/>
    <x v="0"/>
    <n v="10000"/>
    <n v="1"/>
    <x v="2"/>
    <s v="Manual"/>
    <s v="Yes"/>
    <n v="0"/>
    <x v="3"/>
    <x v="2"/>
    <n v="49"/>
    <x v="0"/>
    <x v="1"/>
  </r>
  <r>
    <n v="14545"/>
    <x v="0"/>
    <x v="1"/>
    <n v="10000"/>
    <n v="2"/>
    <x v="2"/>
    <s v="Manual"/>
    <s v="Yes"/>
    <n v="0"/>
    <x v="0"/>
    <x v="2"/>
    <n v="49"/>
    <x v="0"/>
    <x v="1"/>
  </r>
  <r>
    <n v="14547"/>
    <x v="0"/>
    <x v="0"/>
    <n v="10000"/>
    <n v="2"/>
    <x v="2"/>
    <s v="Manual"/>
    <s v="Yes"/>
    <n v="0"/>
    <x v="0"/>
    <x v="2"/>
    <n v="51"/>
    <x v="0"/>
    <x v="1"/>
  </r>
  <r>
    <n v="14554"/>
    <x v="0"/>
    <x v="0"/>
    <n v="20000"/>
    <n v="1"/>
    <x v="0"/>
    <s v="Clerical"/>
    <s v="Yes"/>
    <n v="0"/>
    <x v="3"/>
    <x v="2"/>
    <n v="66"/>
    <x v="1"/>
    <x v="1"/>
  </r>
  <r>
    <n v="14569"/>
    <x v="0"/>
    <x v="0"/>
    <n v="60000"/>
    <n v="1"/>
    <x v="3"/>
    <s v="Professional"/>
    <s v="Yes"/>
    <n v="0"/>
    <x v="3"/>
    <x v="1"/>
    <n v="35"/>
    <x v="0"/>
    <x v="1"/>
  </r>
  <r>
    <n v="14572"/>
    <x v="0"/>
    <x v="1"/>
    <n v="70000"/>
    <n v="3"/>
    <x v="3"/>
    <s v="Professional"/>
    <s v="Yes"/>
    <n v="0"/>
    <x v="2"/>
    <x v="1"/>
    <n v="35"/>
    <x v="0"/>
    <x v="0"/>
  </r>
  <r>
    <n v="14592"/>
    <x v="0"/>
    <x v="1"/>
    <n v="60000"/>
    <n v="0"/>
    <x v="3"/>
    <s v="Professional"/>
    <s v="Yes"/>
    <n v="0"/>
    <x v="3"/>
    <x v="1"/>
    <n v="40"/>
    <x v="0"/>
    <x v="1"/>
  </r>
  <r>
    <n v="14602"/>
    <x v="0"/>
    <x v="1"/>
    <n v="80000"/>
    <n v="3"/>
    <x v="3"/>
    <s v="Professional"/>
    <s v="Yes"/>
    <n v="0"/>
    <x v="3"/>
    <x v="1"/>
    <n v="36"/>
    <x v="0"/>
    <x v="0"/>
  </r>
  <r>
    <n v="14608"/>
    <x v="0"/>
    <x v="0"/>
    <n v="50000"/>
    <n v="4"/>
    <x v="0"/>
    <s v="Skilled Manual"/>
    <s v="Yes"/>
    <n v="3"/>
    <x v="4"/>
    <x v="1"/>
    <n v="42"/>
    <x v="0"/>
    <x v="1"/>
  </r>
  <r>
    <n v="14633"/>
    <x v="0"/>
    <x v="0"/>
    <n v="60000"/>
    <n v="1"/>
    <x v="2"/>
    <s v="Skilled Manual"/>
    <s v="Yes"/>
    <n v="1"/>
    <x v="2"/>
    <x v="1"/>
    <n v="44"/>
    <x v="0"/>
    <x v="1"/>
  </r>
  <r>
    <n v="14657"/>
    <x v="0"/>
    <x v="0"/>
    <n v="80000"/>
    <n v="1"/>
    <x v="2"/>
    <s v="Skilled Manual"/>
    <s v="No"/>
    <n v="1"/>
    <x v="3"/>
    <x v="1"/>
    <n v="47"/>
    <x v="0"/>
    <x v="0"/>
  </r>
  <r>
    <n v="14662"/>
    <x v="0"/>
    <x v="0"/>
    <n v="60000"/>
    <n v="1"/>
    <x v="0"/>
    <s v="Professional"/>
    <s v="Yes"/>
    <n v="1"/>
    <x v="3"/>
    <x v="1"/>
    <n v="48"/>
    <x v="0"/>
    <x v="0"/>
  </r>
  <r>
    <n v="14669"/>
    <x v="0"/>
    <x v="1"/>
    <n v="80000"/>
    <n v="4"/>
    <x v="3"/>
    <s v="Management"/>
    <s v="Yes"/>
    <n v="1"/>
    <x v="3"/>
    <x v="0"/>
    <n v="36"/>
    <x v="0"/>
    <x v="1"/>
  </r>
  <r>
    <n v="14682"/>
    <x v="1"/>
    <x v="1"/>
    <n v="70000"/>
    <n v="0"/>
    <x v="0"/>
    <s v="Professional"/>
    <s v="No"/>
    <n v="1"/>
    <x v="1"/>
    <x v="0"/>
    <n v="38"/>
    <x v="0"/>
    <x v="1"/>
  </r>
  <r>
    <n v="14696"/>
    <x v="1"/>
    <x v="0"/>
    <n v="10000"/>
    <n v="0"/>
    <x v="4"/>
    <s v="Manual"/>
    <s v="No"/>
    <n v="2"/>
    <x v="3"/>
    <x v="2"/>
    <n v="34"/>
    <x v="0"/>
    <x v="1"/>
  </r>
  <r>
    <n v="14754"/>
    <x v="0"/>
    <x v="0"/>
    <n v="40000"/>
    <n v="1"/>
    <x v="2"/>
    <s v="Clerical"/>
    <s v="Yes"/>
    <n v="1"/>
    <x v="0"/>
    <x v="1"/>
    <n v="48"/>
    <x v="0"/>
    <x v="0"/>
  </r>
  <r>
    <n v="14777"/>
    <x v="0"/>
    <x v="1"/>
    <n v="40000"/>
    <n v="0"/>
    <x v="0"/>
    <s v="Clerical"/>
    <s v="Yes"/>
    <n v="0"/>
    <x v="3"/>
    <x v="2"/>
    <n v="38"/>
    <x v="0"/>
    <x v="0"/>
  </r>
  <r>
    <n v="14785"/>
    <x v="1"/>
    <x v="0"/>
    <n v="30000"/>
    <n v="1"/>
    <x v="0"/>
    <s v="Clerical"/>
    <s v="No"/>
    <n v="1"/>
    <x v="0"/>
    <x v="2"/>
    <n v="39"/>
    <x v="0"/>
    <x v="1"/>
  </r>
  <r>
    <n v="14791"/>
    <x v="0"/>
    <x v="1"/>
    <n v="40000"/>
    <n v="0"/>
    <x v="0"/>
    <s v="Clerical"/>
    <s v="Yes"/>
    <n v="0"/>
    <x v="3"/>
    <x v="2"/>
    <n v="39"/>
    <x v="0"/>
    <x v="0"/>
  </r>
  <r>
    <n v="14798"/>
    <x v="1"/>
    <x v="1"/>
    <n v="10000"/>
    <n v="4"/>
    <x v="4"/>
    <s v="Manual"/>
    <s v="Yes"/>
    <n v="2"/>
    <x v="3"/>
    <x v="2"/>
    <n v="41"/>
    <x v="0"/>
    <x v="0"/>
  </r>
  <r>
    <n v="14804"/>
    <x v="1"/>
    <x v="1"/>
    <n v="10000"/>
    <n v="3"/>
    <x v="4"/>
    <s v="Manual"/>
    <s v="Yes"/>
    <n v="2"/>
    <x v="3"/>
    <x v="2"/>
    <n v="43"/>
    <x v="0"/>
    <x v="1"/>
  </r>
  <r>
    <n v="14805"/>
    <x v="1"/>
    <x v="1"/>
    <n v="10000"/>
    <n v="3"/>
    <x v="4"/>
    <s v="Manual"/>
    <s v="Yes"/>
    <n v="2"/>
    <x v="3"/>
    <x v="2"/>
    <n v="43"/>
    <x v="0"/>
    <x v="1"/>
  </r>
  <r>
    <n v="14813"/>
    <x v="1"/>
    <x v="1"/>
    <n v="20000"/>
    <n v="4"/>
    <x v="1"/>
    <s v="Manual"/>
    <s v="Yes"/>
    <n v="1"/>
    <x v="3"/>
    <x v="2"/>
    <n v="43"/>
    <x v="0"/>
    <x v="0"/>
  </r>
  <r>
    <n v="14832"/>
    <x v="0"/>
    <x v="0"/>
    <n v="40000"/>
    <n v="1"/>
    <x v="0"/>
    <s v="Skilled Manual"/>
    <s v="Yes"/>
    <n v="0"/>
    <x v="3"/>
    <x v="2"/>
    <n v="42"/>
    <x v="0"/>
    <x v="0"/>
  </r>
  <r>
    <n v="14865"/>
    <x v="1"/>
    <x v="0"/>
    <n v="40000"/>
    <n v="2"/>
    <x v="2"/>
    <s v="Clerical"/>
    <s v="Yes"/>
    <n v="2"/>
    <x v="0"/>
    <x v="2"/>
    <n v="36"/>
    <x v="0"/>
    <x v="1"/>
  </r>
  <r>
    <n v="14872"/>
    <x v="0"/>
    <x v="0"/>
    <n v="30000"/>
    <n v="0"/>
    <x v="3"/>
    <s v="Skilled Manual"/>
    <s v="Yes"/>
    <n v="0"/>
    <x v="3"/>
    <x v="1"/>
    <n v="32"/>
    <x v="0"/>
    <x v="1"/>
  </r>
  <r>
    <n v="14883"/>
    <x v="0"/>
    <x v="1"/>
    <n v="30000"/>
    <n v="1"/>
    <x v="0"/>
    <s v="Skilled Manual"/>
    <s v="Yes"/>
    <n v="1"/>
    <x v="1"/>
    <x v="1"/>
    <n v="53"/>
    <x v="0"/>
    <x v="0"/>
  </r>
  <r>
    <n v="14887"/>
    <x v="0"/>
    <x v="1"/>
    <n v="30000"/>
    <n v="1"/>
    <x v="1"/>
    <s v="Clerical"/>
    <s v="Yes"/>
    <n v="1"/>
    <x v="1"/>
    <x v="1"/>
    <n v="52"/>
    <x v="0"/>
    <x v="1"/>
  </r>
  <r>
    <n v="14900"/>
    <x v="0"/>
    <x v="1"/>
    <n v="40000"/>
    <n v="1"/>
    <x v="2"/>
    <s v="Clerical"/>
    <s v="Yes"/>
    <n v="1"/>
    <x v="0"/>
    <x v="1"/>
    <n v="49"/>
    <x v="0"/>
    <x v="0"/>
  </r>
  <r>
    <n v="14913"/>
    <x v="0"/>
    <x v="1"/>
    <n v="40000"/>
    <n v="1"/>
    <x v="2"/>
    <s v="Clerical"/>
    <s v="Yes"/>
    <n v="1"/>
    <x v="0"/>
    <x v="1"/>
    <n v="48"/>
    <x v="0"/>
    <x v="0"/>
  </r>
  <r>
    <n v="14914"/>
    <x v="0"/>
    <x v="1"/>
    <n v="40000"/>
    <n v="1"/>
    <x v="2"/>
    <s v="Clerical"/>
    <s v="Yes"/>
    <n v="1"/>
    <x v="0"/>
    <x v="1"/>
    <n v="49"/>
    <x v="0"/>
    <x v="0"/>
  </r>
  <r>
    <n v="14926"/>
    <x v="0"/>
    <x v="0"/>
    <n v="30000"/>
    <n v="1"/>
    <x v="0"/>
    <s v="Clerical"/>
    <s v="Yes"/>
    <n v="0"/>
    <x v="3"/>
    <x v="2"/>
    <n v="38"/>
    <x v="0"/>
    <x v="0"/>
  </r>
  <r>
    <n v="14927"/>
    <x v="0"/>
    <x v="1"/>
    <n v="30000"/>
    <n v="1"/>
    <x v="0"/>
    <s v="Clerical"/>
    <s v="Yes"/>
    <n v="0"/>
    <x v="3"/>
    <x v="2"/>
    <n v="37"/>
    <x v="0"/>
    <x v="0"/>
  </r>
  <r>
    <n v="14939"/>
    <x v="1"/>
    <x v="0"/>
    <n v="40000"/>
    <n v="0"/>
    <x v="0"/>
    <s v="Clerical"/>
    <s v="Yes"/>
    <n v="0"/>
    <x v="3"/>
    <x v="2"/>
    <n v="39"/>
    <x v="0"/>
    <x v="0"/>
  </r>
  <r>
    <n v="15019"/>
    <x v="1"/>
    <x v="1"/>
    <n v="30000"/>
    <n v="3"/>
    <x v="1"/>
    <s v="Skilled Manual"/>
    <s v="Yes"/>
    <n v="2"/>
    <x v="1"/>
    <x v="0"/>
    <n v="55"/>
    <x v="1"/>
    <x v="1"/>
  </r>
  <r>
    <n v="15030"/>
    <x v="0"/>
    <x v="0"/>
    <n v="20000"/>
    <n v="0"/>
    <x v="0"/>
    <s v="Clerical"/>
    <s v="Yes"/>
    <n v="0"/>
    <x v="3"/>
    <x v="0"/>
    <n v="26"/>
    <x v="2"/>
    <x v="0"/>
  </r>
  <r>
    <n v="15194"/>
    <x v="1"/>
    <x v="0"/>
    <n v="120000"/>
    <n v="2"/>
    <x v="0"/>
    <s v="Management"/>
    <s v="No"/>
    <n v="3"/>
    <x v="3"/>
    <x v="1"/>
    <n v="39"/>
    <x v="0"/>
    <x v="0"/>
  </r>
  <r>
    <n v="15214"/>
    <x v="1"/>
    <x v="1"/>
    <n v="100000"/>
    <n v="0"/>
    <x v="3"/>
    <s v="Management"/>
    <s v="No"/>
    <n v="1"/>
    <x v="0"/>
    <x v="0"/>
    <n v="39"/>
    <x v="0"/>
    <x v="0"/>
  </r>
  <r>
    <n v="15255"/>
    <x v="0"/>
    <x v="0"/>
    <n v="40000"/>
    <n v="0"/>
    <x v="1"/>
    <s v="Skilled Manual"/>
    <s v="Yes"/>
    <n v="2"/>
    <x v="1"/>
    <x v="1"/>
    <n v="28"/>
    <x v="2"/>
    <x v="0"/>
  </r>
  <r>
    <n v="15265"/>
    <x v="1"/>
    <x v="0"/>
    <n v="40000"/>
    <n v="2"/>
    <x v="0"/>
    <s v="Management"/>
    <s v="Yes"/>
    <n v="2"/>
    <x v="1"/>
    <x v="0"/>
    <n v="66"/>
    <x v="1"/>
    <x v="0"/>
  </r>
  <r>
    <n v="15272"/>
    <x v="1"/>
    <x v="0"/>
    <n v="40000"/>
    <n v="0"/>
    <x v="1"/>
    <s v="Skilled Manual"/>
    <s v="No"/>
    <n v="2"/>
    <x v="0"/>
    <x v="1"/>
    <n v="30"/>
    <x v="2"/>
    <x v="1"/>
  </r>
  <r>
    <n v="15275"/>
    <x v="0"/>
    <x v="0"/>
    <n v="40000"/>
    <n v="0"/>
    <x v="2"/>
    <s v="Skilled Manual"/>
    <s v="Yes"/>
    <n v="1"/>
    <x v="1"/>
    <x v="1"/>
    <n v="29"/>
    <x v="2"/>
    <x v="1"/>
  </r>
  <r>
    <n v="15287"/>
    <x v="1"/>
    <x v="1"/>
    <n v="50000"/>
    <n v="1"/>
    <x v="3"/>
    <s v="Skilled Manual"/>
    <s v="Yes"/>
    <n v="0"/>
    <x v="0"/>
    <x v="1"/>
    <n v="33"/>
    <x v="0"/>
    <x v="0"/>
  </r>
  <r>
    <n v="15292"/>
    <x v="1"/>
    <x v="1"/>
    <n v="60000"/>
    <n v="1"/>
    <x v="3"/>
    <s v="Skilled Manual"/>
    <s v="Yes"/>
    <n v="0"/>
    <x v="0"/>
    <x v="1"/>
    <n v="35"/>
    <x v="0"/>
    <x v="1"/>
  </r>
  <r>
    <n v="15302"/>
    <x v="1"/>
    <x v="1"/>
    <n v="70000"/>
    <n v="1"/>
    <x v="3"/>
    <s v="Professional"/>
    <s v="Yes"/>
    <n v="0"/>
    <x v="2"/>
    <x v="1"/>
    <n v="34"/>
    <x v="0"/>
    <x v="0"/>
  </r>
  <r>
    <n v="15313"/>
    <x v="0"/>
    <x v="0"/>
    <n v="60000"/>
    <n v="4"/>
    <x v="0"/>
    <s v="Management"/>
    <s v="Yes"/>
    <n v="2"/>
    <x v="2"/>
    <x v="1"/>
    <n v="59"/>
    <x v="1"/>
    <x v="1"/>
  </r>
  <r>
    <n v="15319"/>
    <x v="0"/>
    <x v="1"/>
    <n v="70000"/>
    <n v="4"/>
    <x v="0"/>
    <s v="Management"/>
    <s v="No"/>
    <n v="1"/>
    <x v="0"/>
    <x v="1"/>
    <n v="59"/>
    <x v="1"/>
    <x v="1"/>
  </r>
  <r>
    <n v="15372"/>
    <x v="0"/>
    <x v="0"/>
    <n v="80000"/>
    <n v="3"/>
    <x v="2"/>
    <s v="Professional"/>
    <s v="No"/>
    <n v="2"/>
    <x v="2"/>
    <x v="1"/>
    <n v="50"/>
    <x v="0"/>
    <x v="0"/>
  </r>
  <r>
    <n v="15382"/>
    <x v="0"/>
    <x v="1"/>
    <n v="110000"/>
    <n v="1"/>
    <x v="0"/>
    <s v="Management"/>
    <s v="Yes"/>
    <n v="2"/>
    <x v="0"/>
    <x v="1"/>
    <n v="44"/>
    <x v="0"/>
    <x v="1"/>
  </r>
  <r>
    <n v="15412"/>
    <x v="0"/>
    <x v="0"/>
    <n v="130000"/>
    <n v="2"/>
    <x v="3"/>
    <s v="Management"/>
    <s v="Yes"/>
    <n v="3"/>
    <x v="2"/>
    <x v="1"/>
    <n v="69"/>
    <x v="1"/>
    <x v="1"/>
  </r>
  <r>
    <n v="15450"/>
    <x v="0"/>
    <x v="0"/>
    <n v="10000"/>
    <n v="1"/>
    <x v="3"/>
    <s v="Clerical"/>
    <s v="Yes"/>
    <n v="0"/>
    <x v="3"/>
    <x v="2"/>
    <n v="70"/>
    <x v="1"/>
    <x v="1"/>
  </r>
  <r>
    <n v="15465"/>
    <x v="0"/>
    <x v="1"/>
    <n v="10000"/>
    <n v="0"/>
    <x v="2"/>
    <s v="Manual"/>
    <s v="No"/>
    <n v="1"/>
    <x v="3"/>
    <x v="0"/>
    <n v="25"/>
    <x v="2"/>
    <x v="1"/>
  </r>
  <r>
    <n v="15468"/>
    <x v="0"/>
    <x v="1"/>
    <n v="50000"/>
    <n v="1"/>
    <x v="0"/>
    <s v="Skilled Manual"/>
    <s v="Yes"/>
    <n v="1"/>
    <x v="3"/>
    <x v="1"/>
    <n v="35"/>
    <x v="0"/>
    <x v="1"/>
  </r>
  <r>
    <n v="15501"/>
    <x v="0"/>
    <x v="0"/>
    <n v="70000"/>
    <n v="4"/>
    <x v="3"/>
    <s v="Professional"/>
    <s v="Yes"/>
    <n v="0"/>
    <x v="2"/>
    <x v="1"/>
    <n v="36"/>
    <x v="0"/>
    <x v="0"/>
  </r>
  <r>
    <n v="15529"/>
    <x v="0"/>
    <x v="0"/>
    <n v="60000"/>
    <n v="4"/>
    <x v="0"/>
    <s v="Professional"/>
    <s v="Yes"/>
    <n v="2"/>
    <x v="2"/>
    <x v="1"/>
    <n v="43"/>
    <x v="0"/>
    <x v="0"/>
  </r>
  <r>
    <n v="15532"/>
    <x v="1"/>
    <x v="0"/>
    <n v="60000"/>
    <n v="4"/>
    <x v="0"/>
    <s v="Professional"/>
    <s v="Yes"/>
    <n v="2"/>
    <x v="2"/>
    <x v="1"/>
    <n v="43"/>
    <x v="0"/>
    <x v="0"/>
  </r>
  <r>
    <n v="15555"/>
    <x v="0"/>
    <x v="1"/>
    <n v="60000"/>
    <n v="1"/>
    <x v="2"/>
    <s v="Skilled Manual"/>
    <s v="Yes"/>
    <n v="1"/>
    <x v="2"/>
    <x v="1"/>
    <n v="45"/>
    <x v="0"/>
    <x v="0"/>
  </r>
  <r>
    <n v="15559"/>
    <x v="0"/>
    <x v="0"/>
    <n v="60000"/>
    <n v="5"/>
    <x v="0"/>
    <s v="Professional"/>
    <s v="Yes"/>
    <n v="1"/>
    <x v="2"/>
    <x v="1"/>
    <n v="47"/>
    <x v="0"/>
    <x v="1"/>
  </r>
  <r>
    <n v="15580"/>
    <x v="0"/>
    <x v="0"/>
    <n v="60000"/>
    <n v="2"/>
    <x v="0"/>
    <s v="Professional"/>
    <s v="Yes"/>
    <n v="1"/>
    <x v="2"/>
    <x v="0"/>
    <n v="38"/>
    <x v="0"/>
    <x v="0"/>
  </r>
  <r>
    <n v="15608"/>
    <x v="1"/>
    <x v="1"/>
    <n v="30000"/>
    <n v="0"/>
    <x v="2"/>
    <s v="Clerical"/>
    <s v="No"/>
    <n v="1"/>
    <x v="2"/>
    <x v="2"/>
    <n v="33"/>
    <x v="0"/>
    <x v="1"/>
  </r>
  <r>
    <n v="15612"/>
    <x v="1"/>
    <x v="0"/>
    <n v="30000"/>
    <n v="0"/>
    <x v="1"/>
    <s v="Manual"/>
    <s v="No"/>
    <n v="1"/>
    <x v="0"/>
    <x v="2"/>
    <n v="28"/>
    <x v="2"/>
    <x v="1"/>
  </r>
  <r>
    <n v="15628"/>
    <x v="0"/>
    <x v="1"/>
    <n v="40000"/>
    <n v="1"/>
    <x v="0"/>
    <s v="Skilled Manual"/>
    <s v="Yes"/>
    <n v="1"/>
    <x v="3"/>
    <x v="2"/>
    <n v="89"/>
    <x v="1"/>
    <x v="1"/>
  </r>
  <r>
    <n v="15629"/>
    <x v="1"/>
    <x v="1"/>
    <n v="10000"/>
    <n v="0"/>
    <x v="4"/>
    <s v="Manual"/>
    <s v="Yes"/>
    <n v="2"/>
    <x v="0"/>
    <x v="2"/>
    <n v="34"/>
    <x v="0"/>
    <x v="1"/>
  </r>
  <r>
    <n v="15657"/>
    <x v="0"/>
    <x v="0"/>
    <n v="30000"/>
    <n v="3"/>
    <x v="3"/>
    <s v="Clerical"/>
    <s v="Yes"/>
    <n v="0"/>
    <x v="3"/>
    <x v="2"/>
    <n v="46"/>
    <x v="0"/>
    <x v="0"/>
  </r>
  <r>
    <n v="15665"/>
    <x v="0"/>
    <x v="1"/>
    <n v="30000"/>
    <n v="0"/>
    <x v="0"/>
    <s v="Clerical"/>
    <s v="Yes"/>
    <n v="0"/>
    <x v="3"/>
    <x v="2"/>
    <n v="47"/>
    <x v="0"/>
    <x v="0"/>
  </r>
  <r>
    <n v="15682"/>
    <x v="1"/>
    <x v="1"/>
    <n v="80000"/>
    <n v="5"/>
    <x v="0"/>
    <s v="Management"/>
    <s v="Yes"/>
    <n v="2"/>
    <x v="4"/>
    <x v="2"/>
    <n v="62"/>
    <x v="1"/>
    <x v="1"/>
  </r>
  <r>
    <n v="15740"/>
    <x v="0"/>
    <x v="0"/>
    <n v="80000"/>
    <n v="5"/>
    <x v="0"/>
    <s v="Management"/>
    <s v="Yes"/>
    <n v="2"/>
    <x v="0"/>
    <x v="1"/>
    <n v="64"/>
    <x v="1"/>
    <x v="1"/>
  </r>
  <r>
    <n v="15749"/>
    <x v="1"/>
    <x v="1"/>
    <n v="70000"/>
    <n v="4"/>
    <x v="0"/>
    <s v="Management"/>
    <s v="Yes"/>
    <n v="2"/>
    <x v="4"/>
    <x v="1"/>
    <n v="61"/>
    <x v="1"/>
    <x v="1"/>
  </r>
  <r>
    <n v="15752"/>
    <x v="0"/>
    <x v="0"/>
    <n v="80000"/>
    <n v="2"/>
    <x v="1"/>
    <s v="Skilled Manual"/>
    <s v="No"/>
    <n v="2"/>
    <x v="0"/>
    <x v="0"/>
    <n v="50"/>
    <x v="0"/>
    <x v="0"/>
  </r>
  <r>
    <n v="15758"/>
    <x v="0"/>
    <x v="0"/>
    <n v="130000"/>
    <n v="0"/>
    <x v="3"/>
    <s v="Management"/>
    <s v="Yes"/>
    <n v="0"/>
    <x v="1"/>
    <x v="0"/>
    <n v="48"/>
    <x v="0"/>
    <x v="1"/>
  </r>
  <r>
    <n v="15799"/>
    <x v="0"/>
    <x v="1"/>
    <n v="90000"/>
    <n v="1"/>
    <x v="0"/>
    <s v="Professional"/>
    <s v="Yes"/>
    <n v="1"/>
    <x v="2"/>
    <x v="0"/>
    <n v="47"/>
    <x v="0"/>
    <x v="0"/>
  </r>
  <r>
    <n v="15814"/>
    <x v="1"/>
    <x v="1"/>
    <n v="40000"/>
    <n v="0"/>
    <x v="1"/>
    <s v="Skilled Manual"/>
    <s v="Yes"/>
    <n v="1"/>
    <x v="1"/>
    <x v="1"/>
    <n v="30"/>
    <x v="2"/>
    <x v="1"/>
  </r>
  <r>
    <n v="15822"/>
    <x v="0"/>
    <x v="0"/>
    <n v="40000"/>
    <n v="2"/>
    <x v="0"/>
    <s v="Management"/>
    <s v="Yes"/>
    <n v="2"/>
    <x v="3"/>
    <x v="0"/>
    <n v="67"/>
    <x v="1"/>
    <x v="1"/>
  </r>
  <r>
    <n v="15839"/>
    <x v="1"/>
    <x v="0"/>
    <n v="30000"/>
    <n v="0"/>
    <x v="2"/>
    <s v="Skilled Manual"/>
    <s v="Yes"/>
    <n v="1"/>
    <x v="1"/>
    <x v="1"/>
    <n v="32"/>
    <x v="0"/>
    <x v="1"/>
  </r>
  <r>
    <n v="15862"/>
    <x v="1"/>
    <x v="1"/>
    <n v="50000"/>
    <n v="0"/>
    <x v="3"/>
    <s v="Skilled Manual"/>
    <s v="Yes"/>
    <n v="0"/>
    <x v="0"/>
    <x v="1"/>
    <n v="33"/>
    <x v="0"/>
    <x v="0"/>
  </r>
  <r>
    <n v="15879"/>
    <x v="0"/>
    <x v="0"/>
    <n v="70000"/>
    <n v="5"/>
    <x v="0"/>
    <s v="Management"/>
    <s v="Yes"/>
    <n v="2"/>
    <x v="2"/>
    <x v="1"/>
    <n v="61"/>
    <x v="1"/>
    <x v="1"/>
  </r>
  <r>
    <n v="15895"/>
    <x v="1"/>
    <x v="1"/>
    <n v="60000"/>
    <n v="2"/>
    <x v="0"/>
    <s v="Management"/>
    <s v="Yes"/>
    <n v="0"/>
    <x v="4"/>
    <x v="1"/>
    <n v="58"/>
    <x v="1"/>
    <x v="1"/>
  </r>
  <r>
    <n v="15922"/>
    <x v="0"/>
    <x v="0"/>
    <n v="150000"/>
    <n v="2"/>
    <x v="1"/>
    <s v="Professional"/>
    <s v="Yes"/>
    <n v="4"/>
    <x v="3"/>
    <x v="2"/>
    <n v="48"/>
    <x v="0"/>
    <x v="1"/>
  </r>
  <r>
    <n v="15926"/>
    <x v="1"/>
    <x v="1"/>
    <n v="120000"/>
    <n v="3"/>
    <x v="1"/>
    <s v="Professional"/>
    <s v="Yes"/>
    <n v="4"/>
    <x v="1"/>
    <x v="2"/>
    <n v="50"/>
    <x v="0"/>
    <x v="0"/>
  </r>
  <r>
    <n v="15940"/>
    <x v="0"/>
    <x v="0"/>
    <n v="100000"/>
    <n v="4"/>
    <x v="2"/>
    <s v="Professional"/>
    <s v="Yes"/>
    <n v="4"/>
    <x v="3"/>
    <x v="1"/>
    <n v="40"/>
    <x v="0"/>
    <x v="1"/>
  </r>
  <r>
    <n v="15982"/>
    <x v="0"/>
    <x v="0"/>
    <n v="110000"/>
    <n v="5"/>
    <x v="2"/>
    <s v="Professional"/>
    <s v="Yes"/>
    <n v="4"/>
    <x v="2"/>
    <x v="1"/>
    <n v="46"/>
    <x v="0"/>
    <x v="1"/>
  </r>
  <r>
    <n v="16007"/>
    <x v="0"/>
    <x v="1"/>
    <n v="90000"/>
    <n v="5"/>
    <x v="0"/>
    <s v="Management"/>
    <s v="Yes"/>
    <n v="2"/>
    <x v="0"/>
    <x v="1"/>
    <n v="66"/>
    <x v="1"/>
    <x v="0"/>
  </r>
  <r>
    <n v="16009"/>
    <x v="1"/>
    <x v="0"/>
    <n v="170000"/>
    <n v="1"/>
    <x v="3"/>
    <s v="Management"/>
    <s v="No"/>
    <n v="4"/>
    <x v="3"/>
    <x v="1"/>
    <n v="66"/>
    <x v="1"/>
    <x v="1"/>
  </r>
  <r>
    <n v="16020"/>
    <x v="0"/>
    <x v="0"/>
    <n v="40000"/>
    <n v="0"/>
    <x v="1"/>
    <s v="Skilled Manual"/>
    <s v="Yes"/>
    <n v="2"/>
    <x v="1"/>
    <x v="1"/>
    <n v="28"/>
    <x v="2"/>
    <x v="0"/>
  </r>
  <r>
    <n v="16043"/>
    <x v="1"/>
    <x v="0"/>
    <n v="10000"/>
    <n v="1"/>
    <x v="0"/>
    <s v="Manual"/>
    <s v="Yes"/>
    <n v="0"/>
    <x v="3"/>
    <x v="2"/>
    <n v="48"/>
    <x v="0"/>
    <x v="1"/>
  </r>
  <r>
    <n v="16112"/>
    <x v="1"/>
    <x v="0"/>
    <n v="70000"/>
    <n v="4"/>
    <x v="0"/>
    <s v="Professional"/>
    <s v="Yes"/>
    <n v="2"/>
    <x v="2"/>
    <x v="1"/>
    <n v="43"/>
    <x v="0"/>
    <x v="0"/>
  </r>
  <r>
    <n v="16122"/>
    <x v="0"/>
    <x v="0"/>
    <n v="40000"/>
    <n v="4"/>
    <x v="1"/>
    <s v="Skilled Manual"/>
    <s v="Yes"/>
    <n v="2"/>
    <x v="3"/>
    <x v="1"/>
    <n v="44"/>
    <x v="0"/>
    <x v="0"/>
  </r>
  <r>
    <n v="16144"/>
    <x v="0"/>
    <x v="0"/>
    <n v="70000"/>
    <n v="1"/>
    <x v="3"/>
    <s v="Professional"/>
    <s v="Yes"/>
    <n v="1"/>
    <x v="3"/>
    <x v="1"/>
    <n v="46"/>
    <x v="0"/>
    <x v="0"/>
  </r>
  <r>
    <n v="16145"/>
    <x v="1"/>
    <x v="1"/>
    <n v="70000"/>
    <n v="5"/>
    <x v="3"/>
    <s v="Professional"/>
    <s v="Yes"/>
    <n v="3"/>
    <x v="4"/>
    <x v="1"/>
    <n v="46"/>
    <x v="0"/>
    <x v="0"/>
  </r>
  <r>
    <n v="16151"/>
    <x v="0"/>
    <x v="1"/>
    <n v="60000"/>
    <n v="1"/>
    <x v="0"/>
    <s v="Professional"/>
    <s v="Yes"/>
    <n v="1"/>
    <x v="2"/>
    <x v="1"/>
    <n v="48"/>
    <x v="0"/>
    <x v="0"/>
  </r>
  <r>
    <n v="16154"/>
    <x v="0"/>
    <x v="1"/>
    <n v="70000"/>
    <n v="5"/>
    <x v="0"/>
    <s v="Professional"/>
    <s v="Yes"/>
    <n v="2"/>
    <x v="2"/>
    <x v="1"/>
    <n v="47"/>
    <x v="0"/>
    <x v="1"/>
  </r>
  <r>
    <n v="16163"/>
    <x v="1"/>
    <x v="0"/>
    <n v="60000"/>
    <n v="2"/>
    <x v="0"/>
    <s v="Professional"/>
    <s v="Yes"/>
    <n v="1"/>
    <x v="2"/>
    <x v="0"/>
    <n v="38"/>
    <x v="0"/>
    <x v="0"/>
  </r>
  <r>
    <n v="16179"/>
    <x v="1"/>
    <x v="1"/>
    <n v="80000"/>
    <n v="5"/>
    <x v="0"/>
    <s v="Professional"/>
    <s v="Yes"/>
    <n v="4"/>
    <x v="0"/>
    <x v="0"/>
    <n v="38"/>
    <x v="0"/>
    <x v="1"/>
  </r>
  <r>
    <n v="16185"/>
    <x v="1"/>
    <x v="0"/>
    <n v="60000"/>
    <n v="4"/>
    <x v="0"/>
    <s v="Professional"/>
    <s v="Yes"/>
    <n v="3"/>
    <x v="4"/>
    <x v="0"/>
    <n v="41"/>
    <x v="0"/>
    <x v="1"/>
  </r>
  <r>
    <n v="16188"/>
    <x v="1"/>
    <x v="1"/>
    <n v="20000"/>
    <n v="0"/>
    <x v="4"/>
    <s v="Manual"/>
    <s v="No"/>
    <n v="2"/>
    <x v="0"/>
    <x v="2"/>
    <n v="26"/>
    <x v="2"/>
    <x v="1"/>
  </r>
  <r>
    <n v="16200"/>
    <x v="1"/>
    <x v="1"/>
    <n v="10000"/>
    <n v="0"/>
    <x v="4"/>
    <s v="Manual"/>
    <s v="No"/>
    <n v="2"/>
    <x v="3"/>
    <x v="2"/>
    <n v="35"/>
    <x v="0"/>
    <x v="1"/>
  </r>
  <r>
    <n v="16209"/>
    <x v="1"/>
    <x v="1"/>
    <n v="50000"/>
    <n v="0"/>
    <x v="3"/>
    <s v="Skilled Manual"/>
    <s v="Yes"/>
    <n v="0"/>
    <x v="0"/>
    <x v="2"/>
    <n v="36"/>
    <x v="0"/>
    <x v="1"/>
  </r>
  <r>
    <n v="16217"/>
    <x v="1"/>
    <x v="1"/>
    <n v="60000"/>
    <n v="0"/>
    <x v="3"/>
    <s v="Skilled Manual"/>
    <s v="Yes"/>
    <n v="0"/>
    <x v="3"/>
    <x v="1"/>
    <n v="39"/>
    <x v="0"/>
    <x v="1"/>
  </r>
  <r>
    <n v="16245"/>
    <x v="1"/>
    <x v="1"/>
    <n v="80000"/>
    <n v="4"/>
    <x v="3"/>
    <s v="Skilled Manual"/>
    <s v="Yes"/>
    <n v="0"/>
    <x v="0"/>
    <x v="1"/>
    <n v="47"/>
    <x v="0"/>
    <x v="1"/>
  </r>
  <r>
    <n v="16247"/>
    <x v="1"/>
    <x v="1"/>
    <n v="60000"/>
    <n v="4"/>
    <x v="3"/>
    <s v="Skilled Manual"/>
    <s v="No"/>
    <n v="0"/>
    <x v="0"/>
    <x v="1"/>
    <n v="47"/>
    <x v="0"/>
    <x v="1"/>
  </r>
  <r>
    <n v="16259"/>
    <x v="1"/>
    <x v="1"/>
    <n v="10000"/>
    <n v="4"/>
    <x v="4"/>
    <s v="Manual"/>
    <s v="Yes"/>
    <n v="2"/>
    <x v="3"/>
    <x v="2"/>
    <n v="40"/>
    <x v="0"/>
    <x v="0"/>
  </r>
  <r>
    <n v="16337"/>
    <x v="0"/>
    <x v="0"/>
    <n v="60000"/>
    <n v="0"/>
    <x v="2"/>
    <s v="Skilled Manual"/>
    <s v="No"/>
    <n v="2"/>
    <x v="0"/>
    <x v="1"/>
    <n v="29"/>
    <x v="2"/>
    <x v="1"/>
  </r>
  <r>
    <n v="16377"/>
    <x v="1"/>
    <x v="1"/>
    <n v="80000"/>
    <n v="4"/>
    <x v="3"/>
    <s v="Skilled Manual"/>
    <s v="No"/>
    <n v="0"/>
    <x v="3"/>
    <x v="1"/>
    <n v="47"/>
    <x v="0"/>
    <x v="1"/>
  </r>
  <r>
    <n v="16390"/>
    <x v="1"/>
    <x v="0"/>
    <n v="30000"/>
    <n v="1"/>
    <x v="0"/>
    <s v="Clerical"/>
    <s v="No"/>
    <n v="0"/>
    <x v="3"/>
    <x v="2"/>
    <n v="38"/>
    <x v="0"/>
    <x v="0"/>
  </r>
  <r>
    <n v="16406"/>
    <x v="0"/>
    <x v="0"/>
    <n v="40000"/>
    <n v="0"/>
    <x v="0"/>
    <s v="Clerical"/>
    <s v="No"/>
    <n v="0"/>
    <x v="3"/>
    <x v="2"/>
    <n v="38"/>
    <x v="0"/>
    <x v="0"/>
  </r>
  <r>
    <n v="16410"/>
    <x v="1"/>
    <x v="1"/>
    <n v="10000"/>
    <n v="4"/>
    <x v="4"/>
    <s v="Manual"/>
    <s v="Yes"/>
    <n v="2"/>
    <x v="3"/>
    <x v="2"/>
    <n v="41"/>
    <x v="0"/>
    <x v="0"/>
  </r>
  <r>
    <n v="16438"/>
    <x v="0"/>
    <x v="1"/>
    <n v="10000"/>
    <n v="0"/>
    <x v="4"/>
    <s v="Manual"/>
    <s v="No"/>
    <n v="2"/>
    <x v="3"/>
    <x v="2"/>
    <n v="30"/>
    <x v="2"/>
    <x v="1"/>
  </r>
  <r>
    <n v="16466"/>
    <x v="1"/>
    <x v="1"/>
    <n v="20000"/>
    <n v="0"/>
    <x v="4"/>
    <s v="Manual"/>
    <s v="No"/>
    <n v="2"/>
    <x v="3"/>
    <x v="2"/>
    <n v="32"/>
    <x v="0"/>
    <x v="0"/>
  </r>
  <r>
    <n v="16468"/>
    <x v="1"/>
    <x v="0"/>
    <n v="30000"/>
    <n v="0"/>
    <x v="2"/>
    <s v="Clerical"/>
    <s v="Yes"/>
    <n v="1"/>
    <x v="2"/>
    <x v="2"/>
    <n v="30"/>
    <x v="2"/>
    <x v="1"/>
  </r>
  <r>
    <n v="16487"/>
    <x v="1"/>
    <x v="1"/>
    <n v="30000"/>
    <n v="3"/>
    <x v="1"/>
    <s v="Skilled Manual"/>
    <s v="Yes"/>
    <n v="2"/>
    <x v="1"/>
    <x v="0"/>
    <n v="55"/>
    <x v="1"/>
    <x v="1"/>
  </r>
  <r>
    <n v="16489"/>
    <x v="0"/>
    <x v="0"/>
    <n v="30000"/>
    <n v="3"/>
    <x v="1"/>
    <s v="Skilled Manual"/>
    <s v="Yes"/>
    <n v="2"/>
    <x v="1"/>
    <x v="0"/>
    <n v="55"/>
    <x v="1"/>
    <x v="1"/>
  </r>
  <r>
    <n v="16514"/>
    <x v="1"/>
    <x v="0"/>
    <n v="10000"/>
    <n v="0"/>
    <x v="2"/>
    <s v="Manual"/>
    <s v="Yes"/>
    <n v="1"/>
    <x v="0"/>
    <x v="0"/>
    <n v="26"/>
    <x v="2"/>
    <x v="0"/>
  </r>
  <r>
    <n v="16549"/>
    <x v="1"/>
    <x v="1"/>
    <n v="30000"/>
    <n v="3"/>
    <x v="0"/>
    <s v="Clerical"/>
    <s v="Yes"/>
    <n v="0"/>
    <x v="3"/>
    <x v="2"/>
    <n v="47"/>
    <x v="0"/>
    <x v="0"/>
  </r>
  <r>
    <n v="16559"/>
    <x v="1"/>
    <x v="1"/>
    <n v="10000"/>
    <n v="2"/>
    <x v="1"/>
    <s v="Manual"/>
    <s v="Yes"/>
    <n v="0"/>
    <x v="3"/>
    <x v="2"/>
    <n v="36"/>
    <x v="0"/>
    <x v="0"/>
  </r>
  <r>
    <n v="16614"/>
    <x v="0"/>
    <x v="1"/>
    <n v="80000"/>
    <n v="0"/>
    <x v="0"/>
    <s v="Professional"/>
    <s v="Yes"/>
    <n v="3"/>
    <x v="4"/>
    <x v="0"/>
    <n v="32"/>
    <x v="0"/>
    <x v="1"/>
  </r>
  <r>
    <n v="16651"/>
    <x v="0"/>
    <x v="1"/>
    <n v="120000"/>
    <n v="2"/>
    <x v="0"/>
    <s v="Management"/>
    <s v="Yes"/>
    <n v="3"/>
    <x v="1"/>
    <x v="1"/>
    <n v="62"/>
    <x v="1"/>
    <x v="1"/>
  </r>
  <r>
    <n v="16675"/>
    <x v="1"/>
    <x v="1"/>
    <n v="160000"/>
    <n v="0"/>
    <x v="3"/>
    <s v="Management"/>
    <s v="No"/>
    <n v="3"/>
    <x v="3"/>
    <x v="0"/>
    <n v="47"/>
    <x v="0"/>
    <x v="0"/>
  </r>
  <r>
    <n v="16713"/>
    <x v="0"/>
    <x v="0"/>
    <n v="40000"/>
    <n v="2"/>
    <x v="0"/>
    <s v="Management"/>
    <s v="Yes"/>
    <n v="1"/>
    <x v="3"/>
    <x v="0"/>
    <n v="52"/>
    <x v="0"/>
    <x v="0"/>
  </r>
  <r>
    <n v="16725"/>
    <x v="0"/>
    <x v="0"/>
    <n v="30000"/>
    <n v="0"/>
    <x v="1"/>
    <s v="Skilled Manual"/>
    <s v="Yes"/>
    <n v="2"/>
    <x v="1"/>
    <x v="1"/>
    <n v="26"/>
    <x v="2"/>
    <x v="1"/>
  </r>
  <r>
    <n v="16751"/>
    <x v="0"/>
    <x v="0"/>
    <n v="60000"/>
    <n v="0"/>
    <x v="2"/>
    <s v="Skilled Manual"/>
    <s v="Yes"/>
    <n v="1"/>
    <x v="1"/>
    <x v="1"/>
    <n v="32"/>
    <x v="0"/>
    <x v="0"/>
  </r>
  <r>
    <n v="16753"/>
    <x v="1"/>
    <x v="1"/>
    <n v="70000"/>
    <n v="0"/>
    <x v="2"/>
    <s v="Skilled Manual"/>
    <s v="Yes"/>
    <n v="2"/>
    <x v="1"/>
    <x v="1"/>
    <n v="34"/>
    <x v="0"/>
    <x v="0"/>
  </r>
  <r>
    <n v="16773"/>
    <x v="0"/>
    <x v="0"/>
    <n v="60000"/>
    <n v="1"/>
    <x v="3"/>
    <s v="Skilled Manual"/>
    <s v="Yes"/>
    <n v="0"/>
    <x v="3"/>
    <x v="1"/>
    <n v="33"/>
    <x v="0"/>
    <x v="1"/>
  </r>
  <r>
    <n v="16791"/>
    <x v="1"/>
    <x v="0"/>
    <n v="60000"/>
    <n v="5"/>
    <x v="0"/>
    <s v="Management"/>
    <s v="Yes"/>
    <n v="3"/>
    <x v="4"/>
    <x v="1"/>
    <n v="59"/>
    <x v="1"/>
    <x v="0"/>
  </r>
  <r>
    <n v="16795"/>
    <x v="0"/>
    <x v="1"/>
    <n v="70000"/>
    <n v="4"/>
    <x v="0"/>
    <s v="Management"/>
    <s v="Yes"/>
    <n v="1"/>
    <x v="0"/>
    <x v="1"/>
    <n v="59"/>
    <x v="1"/>
    <x v="1"/>
  </r>
  <r>
    <n v="16813"/>
    <x v="0"/>
    <x v="0"/>
    <n v="60000"/>
    <n v="2"/>
    <x v="2"/>
    <s v="Professional"/>
    <s v="Yes"/>
    <n v="2"/>
    <x v="4"/>
    <x v="1"/>
    <n v="55"/>
    <x v="1"/>
    <x v="1"/>
  </r>
  <r>
    <n v="16867"/>
    <x v="1"/>
    <x v="1"/>
    <n v="130000"/>
    <n v="1"/>
    <x v="0"/>
    <s v="Management"/>
    <s v="No"/>
    <n v="3"/>
    <x v="3"/>
    <x v="1"/>
    <n v="45"/>
    <x v="0"/>
    <x v="0"/>
  </r>
  <r>
    <n v="16871"/>
    <x v="0"/>
    <x v="1"/>
    <n v="90000"/>
    <n v="2"/>
    <x v="1"/>
    <s v="Professional"/>
    <s v="Yes"/>
    <n v="1"/>
    <x v="4"/>
    <x v="1"/>
    <n v="51"/>
    <x v="0"/>
    <x v="0"/>
  </r>
  <r>
    <n v="16890"/>
    <x v="0"/>
    <x v="0"/>
    <n v="60000"/>
    <n v="3"/>
    <x v="4"/>
    <s v="Skilled Manual"/>
    <s v="Yes"/>
    <n v="2"/>
    <x v="1"/>
    <x v="1"/>
    <n v="52"/>
    <x v="0"/>
    <x v="0"/>
  </r>
  <r>
    <n v="16895"/>
    <x v="0"/>
    <x v="1"/>
    <n v="40000"/>
    <n v="3"/>
    <x v="2"/>
    <s v="Professional"/>
    <s v="No"/>
    <n v="2"/>
    <x v="0"/>
    <x v="1"/>
    <n v="54"/>
    <x v="1"/>
    <x v="0"/>
  </r>
  <r>
    <n v="16917"/>
    <x v="0"/>
    <x v="0"/>
    <n v="120000"/>
    <n v="1"/>
    <x v="0"/>
    <s v="Management"/>
    <s v="Yes"/>
    <n v="4"/>
    <x v="3"/>
    <x v="1"/>
    <n v="38"/>
    <x v="0"/>
    <x v="1"/>
  </r>
  <r>
    <n v="17000"/>
    <x v="1"/>
    <x v="1"/>
    <n v="70000"/>
    <n v="4"/>
    <x v="0"/>
    <s v="Skilled Manual"/>
    <s v="Yes"/>
    <n v="2"/>
    <x v="2"/>
    <x v="1"/>
    <n v="43"/>
    <x v="0"/>
    <x v="0"/>
  </r>
  <r>
    <n v="17012"/>
    <x v="0"/>
    <x v="1"/>
    <n v="60000"/>
    <n v="3"/>
    <x v="3"/>
    <s v="Professional"/>
    <s v="Yes"/>
    <n v="0"/>
    <x v="2"/>
    <x v="1"/>
    <n v="42"/>
    <x v="0"/>
    <x v="0"/>
  </r>
  <r>
    <n v="17025"/>
    <x v="1"/>
    <x v="0"/>
    <n v="50000"/>
    <n v="0"/>
    <x v="2"/>
    <s v="Skilled Manual"/>
    <s v="No"/>
    <n v="1"/>
    <x v="2"/>
    <x v="1"/>
    <n v="39"/>
    <x v="0"/>
    <x v="0"/>
  </r>
  <r>
    <n v="17048"/>
    <x v="1"/>
    <x v="1"/>
    <n v="90000"/>
    <n v="1"/>
    <x v="3"/>
    <s v="Management"/>
    <s v="Yes"/>
    <n v="0"/>
    <x v="3"/>
    <x v="0"/>
    <n v="36"/>
    <x v="0"/>
    <x v="0"/>
  </r>
  <r>
    <n v="17185"/>
    <x v="0"/>
    <x v="1"/>
    <n v="170000"/>
    <n v="4"/>
    <x v="2"/>
    <s v="Professional"/>
    <s v="No"/>
    <n v="3"/>
    <x v="1"/>
    <x v="2"/>
    <n v="48"/>
    <x v="0"/>
    <x v="0"/>
  </r>
  <r>
    <n v="17191"/>
    <x v="1"/>
    <x v="0"/>
    <n v="130000"/>
    <n v="3"/>
    <x v="2"/>
    <s v="Professional"/>
    <s v="No"/>
    <n v="3"/>
    <x v="3"/>
    <x v="2"/>
    <n v="51"/>
    <x v="0"/>
    <x v="0"/>
  </r>
  <r>
    <n v="17197"/>
    <x v="1"/>
    <x v="1"/>
    <n v="90000"/>
    <n v="5"/>
    <x v="2"/>
    <s v="Professional"/>
    <s v="Yes"/>
    <n v="2"/>
    <x v="4"/>
    <x v="2"/>
    <n v="62"/>
    <x v="1"/>
    <x v="1"/>
  </r>
  <r>
    <n v="17203"/>
    <x v="0"/>
    <x v="1"/>
    <n v="130000"/>
    <n v="4"/>
    <x v="2"/>
    <s v="Professional"/>
    <s v="Yes"/>
    <n v="4"/>
    <x v="1"/>
    <x v="2"/>
    <n v="61"/>
    <x v="1"/>
    <x v="0"/>
  </r>
  <r>
    <n v="17230"/>
    <x v="0"/>
    <x v="0"/>
    <n v="80000"/>
    <n v="0"/>
    <x v="0"/>
    <s v="Professional"/>
    <s v="Yes"/>
    <n v="3"/>
    <x v="4"/>
    <x v="0"/>
    <n v="30"/>
    <x v="2"/>
    <x v="1"/>
  </r>
  <r>
    <n v="17238"/>
    <x v="1"/>
    <x v="0"/>
    <n v="80000"/>
    <n v="0"/>
    <x v="0"/>
    <s v="Professional"/>
    <s v="Yes"/>
    <n v="3"/>
    <x v="4"/>
    <x v="0"/>
    <n v="32"/>
    <x v="0"/>
    <x v="1"/>
  </r>
  <r>
    <n v="17260"/>
    <x v="0"/>
    <x v="0"/>
    <n v="90000"/>
    <n v="5"/>
    <x v="2"/>
    <s v="Professional"/>
    <s v="Yes"/>
    <n v="3"/>
    <x v="3"/>
    <x v="1"/>
    <n v="41"/>
    <x v="0"/>
    <x v="1"/>
  </r>
  <r>
    <n v="17269"/>
    <x v="1"/>
    <x v="0"/>
    <n v="60000"/>
    <n v="3"/>
    <x v="0"/>
    <s v="Professional"/>
    <s v="No"/>
    <n v="0"/>
    <x v="3"/>
    <x v="1"/>
    <n v="47"/>
    <x v="0"/>
    <x v="0"/>
  </r>
  <r>
    <n v="17310"/>
    <x v="0"/>
    <x v="0"/>
    <n v="60000"/>
    <n v="1"/>
    <x v="2"/>
    <s v="Skilled Manual"/>
    <s v="Yes"/>
    <n v="1"/>
    <x v="3"/>
    <x v="0"/>
    <n v="45"/>
    <x v="0"/>
    <x v="0"/>
  </r>
  <r>
    <n v="17319"/>
    <x v="1"/>
    <x v="1"/>
    <n v="70000"/>
    <n v="0"/>
    <x v="0"/>
    <s v="Professional"/>
    <s v="No"/>
    <n v="1"/>
    <x v="1"/>
    <x v="0"/>
    <n v="42"/>
    <x v="0"/>
    <x v="1"/>
  </r>
  <r>
    <n v="17324"/>
    <x v="0"/>
    <x v="1"/>
    <n v="100000"/>
    <n v="4"/>
    <x v="0"/>
    <s v="Professional"/>
    <s v="Yes"/>
    <n v="1"/>
    <x v="4"/>
    <x v="0"/>
    <n v="46"/>
    <x v="0"/>
    <x v="1"/>
  </r>
  <r>
    <n v="17337"/>
    <x v="1"/>
    <x v="0"/>
    <n v="40000"/>
    <n v="0"/>
    <x v="1"/>
    <s v="Skilled Manual"/>
    <s v="Yes"/>
    <n v="1"/>
    <x v="1"/>
    <x v="1"/>
    <n v="31"/>
    <x v="0"/>
    <x v="1"/>
  </r>
  <r>
    <n v="17352"/>
    <x v="0"/>
    <x v="0"/>
    <n v="50000"/>
    <n v="2"/>
    <x v="3"/>
    <s v="Management"/>
    <s v="Yes"/>
    <n v="1"/>
    <x v="1"/>
    <x v="0"/>
    <n v="64"/>
    <x v="1"/>
    <x v="0"/>
  </r>
  <r>
    <n v="17369"/>
    <x v="1"/>
    <x v="0"/>
    <n v="30000"/>
    <n v="0"/>
    <x v="2"/>
    <s v="Skilled Manual"/>
    <s v="Yes"/>
    <n v="1"/>
    <x v="1"/>
    <x v="1"/>
    <n v="27"/>
    <x v="2"/>
    <x v="1"/>
  </r>
  <r>
    <n v="17436"/>
    <x v="0"/>
    <x v="0"/>
    <n v="60000"/>
    <n v="2"/>
    <x v="1"/>
    <s v="Professional"/>
    <s v="No"/>
    <n v="2"/>
    <x v="0"/>
    <x v="1"/>
    <n v="51"/>
    <x v="0"/>
    <x v="1"/>
  </r>
  <r>
    <n v="17450"/>
    <x v="0"/>
    <x v="0"/>
    <n v="80000"/>
    <n v="5"/>
    <x v="2"/>
    <s v="Professional"/>
    <s v="Yes"/>
    <n v="3"/>
    <x v="1"/>
    <x v="1"/>
    <n v="45"/>
    <x v="0"/>
    <x v="1"/>
  </r>
  <r>
    <n v="17458"/>
    <x v="1"/>
    <x v="0"/>
    <n v="70000"/>
    <n v="3"/>
    <x v="1"/>
    <s v="Professional"/>
    <s v="Yes"/>
    <n v="0"/>
    <x v="1"/>
    <x v="1"/>
    <n v="52"/>
    <x v="0"/>
    <x v="0"/>
  </r>
  <r>
    <n v="17462"/>
    <x v="0"/>
    <x v="0"/>
    <n v="70000"/>
    <n v="3"/>
    <x v="3"/>
    <s v="Management"/>
    <s v="Yes"/>
    <n v="2"/>
    <x v="1"/>
    <x v="1"/>
    <n v="53"/>
    <x v="0"/>
    <x v="0"/>
  </r>
  <r>
    <n v="17471"/>
    <x v="1"/>
    <x v="1"/>
    <n v="80000"/>
    <n v="4"/>
    <x v="3"/>
    <s v="Management"/>
    <s v="Yes"/>
    <n v="2"/>
    <x v="1"/>
    <x v="1"/>
    <n v="67"/>
    <x v="1"/>
    <x v="1"/>
  </r>
  <r>
    <n v="17482"/>
    <x v="1"/>
    <x v="1"/>
    <n v="40000"/>
    <n v="0"/>
    <x v="4"/>
    <s v="Clerical"/>
    <s v="Yes"/>
    <n v="2"/>
    <x v="1"/>
    <x v="1"/>
    <n v="29"/>
    <x v="2"/>
    <x v="1"/>
  </r>
  <r>
    <n v="17504"/>
    <x v="1"/>
    <x v="1"/>
    <n v="80000"/>
    <n v="2"/>
    <x v="2"/>
    <s v="Skilled Manual"/>
    <s v="Yes"/>
    <n v="2"/>
    <x v="1"/>
    <x v="0"/>
    <n v="52"/>
    <x v="0"/>
    <x v="0"/>
  </r>
  <r>
    <n v="17519"/>
    <x v="0"/>
    <x v="1"/>
    <n v="60000"/>
    <n v="0"/>
    <x v="2"/>
    <s v="Professional"/>
    <s v="Yes"/>
    <n v="2"/>
    <x v="1"/>
    <x v="1"/>
    <n v="32"/>
    <x v="0"/>
    <x v="1"/>
  </r>
  <r>
    <n v="17522"/>
    <x v="0"/>
    <x v="0"/>
    <n v="120000"/>
    <n v="4"/>
    <x v="0"/>
    <s v="Management"/>
    <s v="Yes"/>
    <n v="1"/>
    <x v="2"/>
    <x v="0"/>
    <n v="47"/>
    <x v="0"/>
    <x v="1"/>
  </r>
  <r>
    <n v="17531"/>
    <x v="0"/>
    <x v="0"/>
    <n v="60000"/>
    <n v="2"/>
    <x v="1"/>
    <s v="Professional"/>
    <s v="No"/>
    <n v="2"/>
    <x v="1"/>
    <x v="1"/>
    <n v="50"/>
    <x v="0"/>
    <x v="1"/>
  </r>
  <r>
    <n v="17533"/>
    <x v="0"/>
    <x v="0"/>
    <n v="40000"/>
    <n v="3"/>
    <x v="2"/>
    <s v="Professional"/>
    <s v="No"/>
    <n v="2"/>
    <x v="1"/>
    <x v="1"/>
    <n v="73"/>
    <x v="1"/>
    <x v="0"/>
  </r>
  <r>
    <n v="17541"/>
    <x v="0"/>
    <x v="1"/>
    <n v="40000"/>
    <n v="4"/>
    <x v="1"/>
    <s v="Skilled Manual"/>
    <s v="Yes"/>
    <n v="2"/>
    <x v="2"/>
    <x v="1"/>
    <n v="43"/>
    <x v="0"/>
    <x v="1"/>
  </r>
  <r>
    <n v="17546"/>
    <x v="0"/>
    <x v="1"/>
    <n v="70000"/>
    <n v="1"/>
    <x v="2"/>
    <s v="Skilled Manual"/>
    <s v="Yes"/>
    <n v="1"/>
    <x v="3"/>
    <x v="1"/>
    <n v="44"/>
    <x v="0"/>
    <x v="0"/>
  </r>
  <r>
    <n v="17650"/>
    <x v="1"/>
    <x v="1"/>
    <n v="40000"/>
    <n v="2"/>
    <x v="2"/>
    <s v="Clerical"/>
    <s v="Yes"/>
    <n v="2"/>
    <x v="0"/>
    <x v="2"/>
    <n v="35"/>
    <x v="0"/>
    <x v="1"/>
  </r>
  <r>
    <n v="17654"/>
    <x v="1"/>
    <x v="1"/>
    <n v="40000"/>
    <n v="3"/>
    <x v="2"/>
    <s v="Clerical"/>
    <s v="Yes"/>
    <n v="1"/>
    <x v="0"/>
    <x v="1"/>
    <n v="30"/>
    <x v="2"/>
    <x v="0"/>
  </r>
  <r>
    <n v="17657"/>
    <x v="0"/>
    <x v="0"/>
    <n v="40000"/>
    <n v="4"/>
    <x v="2"/>
    <s v="Clerical"/>
    <s v="No"/>
    <n v="0"/>
    <x v="3"/>
    <x v="1"/>
    <n v="30"/>
    <x v="2"/>
    <x v="1"/>
  </r>
  <r>
    <n v="17668"/>
    <x v="1"/>
    <x v="0"/>
    <n v="30000"/>
    <n v="2"/>
    <x v="1"/>
    <s v="Skilled Manual"/>
    <s v="Yes"/>
    <n v="2"/>
    <x v="0"/>
    <x v="1"/>
    <n v="50"/>
    <x v="0"/>
    <x v="0"/>
  </r>
  <r>
    <n v="17699"/>
    <x v="0"/>
    <x v="0"/>
    <n v="60000"/>
    <n v="1"/>
    <x v="3"/>
    <s v="Skilled Manual"/>
    <s v="No"/>
    <n v="0"/>
    <x v="3"/>
    <x v="1"/>
    <n v="55"/>
    <x v="1"/>
    <x v="1"/>
  </r>
  <r>
    <n v="17702"/>
    <x v="0"/>
    <x v="0"/>
    <n v="10000"/>
    <n v="1"/>
    <x v="3"/>
    <s v="Manual"/>
    <s v="Yes"/>
    <n v="0"/>
    <x v="3"/>
    <x v="2"/>
    <n v="37"/>
    <x v="0"/>
    <x v="1"/>
  </r>
  <r>
    <n v="17703"/>
    <x v="0"/>
    <x v="1"/>
    <n v="10000"/>
    <n v="1"/>
    <x v="3"/>
    <s v="Manual"/>
    <s v="Yes"/>
    <n v="0"/>
    <x v="3"/>
    <x v="2"/>
    <n v="40"/>
    <x v="0"/>
    <x v="1"/>
  </r>
  <r>
    <n v="17754"/>
    <x v="1"/>
    <x v="1"/>
    <n v="30000"/>
    <n v="3"/>
    <x v="0"/>
    <s v="Clerical"/>
    <s v="Yes"/>
    <n v="0"/>
    <x v="3"/>
    <x v="2"/>
    <n v="46"/>
    <x v="0"/>
    <x v="0"/>
  </r>
  <r>
    <n v="17793"/>
    <x v="0"/>
    <x v="1"/>
    <n v="40000"/>
    <n v="0"/>
    <x v="0"/>
    <s v="Clerical"/>
    <s v="Yes"/>
    <n v="0"/>
    <x v="3"/>
    <x v="2"/>
    <n v="38"/>
    <x v="0"/>
    <x v="0"/>
  </r>
  <r>
    <n v="17841"/>
    <x v="1"/>
    <x v="0"/>
    <n v="30000"/>
    <n v="0"/>
    <x v="2"/>
    <s v="Clerical"/>
    <s v="No"/>
    <n v="1"/>
    <x v="3"/>
    <x v="2"/>
    <n v="29"/>
    <x v="2"/>
    <x v="0"/>
  </r>
  <r>
    <n v="17843"/>
    <x v="1"/>
    <x v="1"/>
    <n v="10000"/>
    <n v="0"/>
    <x v="4"/>
    <s v="Manual"/>
    <s v="No"/>
    <n v="2"/>
    <x v="3"/>
    <x v="2"/>
    <n v="32"/>
    <x v="0"/>
    <x v="1"/>
  </r>
  <r>
    <n v="17845"/>
    <x v="1"/>
    <x v="1"/>
    <n v="20000"/>
    <n v="0"/>
    <x v="4"/>
    <s v="Manual"/>
    <s v="No"/>
    <n v="2"/>
    <x v="0"/>
    <x v="2"/>
    <n v="32"/>
    <x v="0"/>
    <x v="1"/>
  </r>
  <r>
    <n v="17848"/>
    <x v="1"/>
    <x v="0"/>
    <n v="30000"/>
    <n v="0"/>
    <x v="2"/>
    <s v="Clerical"/>
    <s v="No"/>
    <n v="1"/>
    <x v="2"/>
    <x v="2"/>
    <n v="31"/>
    <x v="0"/>
    <x v="0"/>
  </r>
  <r>
    <n v="17858"/>
    <x v="0"/>
    <x v="0"/>
    <n v="40000"/>
    <n v="4"/>
    <x v="1"/>
    <s v="Skilled Manual"/>
    <s v="Yes"/>
    <n v="2"/>
    <x v="2"/>
    <x v="1"/>
    <n v="44"/>
    <x v="0"/>
    <x v="0"/>
  </r>
  <r>
    <n v="17864"/>
    <x v="0"/>
    <x v="1"/>
    <n v="60000"/>
    <n v="1"/>
    <x v="2"/>
    <s v="Skilled Manual"/>
    <s v="Yes"/>
    <n v="1"/>
    <x v="2"/>
    <x v="1"/>
    <n v="46"/>
    <x v="0"/>
    <x v="0"/>
  </r>
  <r>
    <n v="17882"/>
    <x v="0"/>
    <x v="0"/>
    <n v="20000"/>
    <n v="1"/>
    <x v="3"/>
    <s v="Clerical"/>
    <s v="Yes"/>
    <n v="0"/>
    <x v="3"/>
    <x v="2"/>
    <n v="44"/>
    <x v="0"/>
    <x v="1"/>
  </r>
  <r>
    <n v="17891"/>
    <x v="0"/>
    <x v="1"/>
    <n v="10000"/>
    <n v="2"/>
    <x v="2"/>
    <s v="Manual"/>
    <s v="Yes"/>
    <n v="1"/>
    <x v="3"/>
    <x v="2"/>
    <n v="50"/>
    <x v="0"/>
    <x v="0"/>
  </r>
  <r>
    <n v="17894"/>
    <x v="0"/>
    <x v="1"/>
    <n v="20000"/>
    <n v="1"/>
    <x v="0"/>
    <s v="Clerical"/>
    <s v="Yes"/>
    <n v="0"/>
    <x v="3"/>
    <x v="2"/>
    <n v="50"/>
    <x v="0"/>
    <x v="0"/>
  </r>
  <r>
    <n v="17907"/>
    <x v="0"/>
    <x v="1"/>
    <n v="10000"/>
    <n v="0"/>
    <x v="2"/>
    <s v="Manual"/>
    <s v="Yes"/>
    <n v="1"/>
    <x v="2"/>
    <x v="0"/>
    <n v="27"/>
    <x v="2"/>
    <x v="1"/>
  </r>
  <r>
    <n v="17926"/>
    <x v="1"/>
    <x v="1"/>
    <n v="40000"/>
    <n v="0"/>
    <x v="0"/>
    <s v="Clerical"/>
    <s v="No"/>
    <n v="0"/>
    <x v="3"/>
    <x v="0"/>
    <n v="28"/>
    <x v="2"/>
    <x v="0"/>
  </r>
  <r>
    <n v="17960"/>
    <x v="0"/>
    <x v="1"/>
    <n v="40000"/>
    <n v="0"/>
    <x v="3"/>
    <s v="Clerical"/>
    <s v="Yes"/>
    <n v="0"/>
    <x v="3"/>
    <x v="2"/>
    <n v="35"/>
    <x v="0"/>
    <x v="0"/>
  </r>
  <r>
    <n v="17964"/>
    <x v="0"/>
    <x v="0"/>
    <n v="40000"/>
    <n v="0"/>
    <x v="3"/>
    <s v="Clerical"/>
    <s v="Yes"/>
    <n v="0"/>
    <x v="3"/>
    <x v="2"/>
    <n v="37"/>
    <x v="0"/>
    <x v="0"/>
  </r>
  <r>
    <n v="17978"/>
    <x v="0"/>
    <x v="0"/>
    <n v="40000"/>
    <n v="0"/>
    <x v="3"/>
    <s v="Clerical"/>
    <s v="Yes"/>
    <n v="0"/>
    <x v="3"/>
    <x v="2"/>
    <n v="37"/>
    <x v="0"/>
    <x v="0"/>
  </r>
  <r>
    <n v="17994"/>
    <x v="1"/>
    <x v="0"/>
    <n v="20000"/>
    <n v="2"/>
    <x v="1"/>
    <s v="Manual"/>
    <s v="Yes"/>
    <n v="2"/>
    <x v="3"/>
    <x v="2"/>
    <n v="42"/>
    <x v="0"/>
    <x v="1"/>
  </r>
  <r>
    <n v="18012"/>
    <x v="0"/>
    <x v="1"/>
    <n v="40000"/>
    <n v="1"/>
    <x v="0"/>
    <s v="Skilled Manual"/>
    <s v="Yes"/>
    <n v="0"/>
    <x v="3"/>
    <x v="2"/>
    <n v="41"/>
    <x v="0"/>
    <x v="1"/>
  </r>
  <r>
    <n v="18018"/>
    <x v="1"/>
    <x v="0"/>
    <n v="30000"/>
    <n v="3"/>
    <x v="2"/>
    <s v="Clerical"/>
    <s v="Yes"/>
    <n v="0"/>
    <x v="3"/>
    <x v="2"/>
    <n v="43"/>
    <x v="0"/>
    <x v="1"/>
  </r>
  <r>
    <n v="18050"/>
    <x v="0"/>
    <x v="1"/>
    <n v="60000"/>
    <n v="1"/>
    <x v="2"/>
    <s v="Skilled Manual"/>
    <s v="Yes"/>
    <n v="1"/>
    <x v="3"/>
    <x v="1"/>
    <n v="45"/>
    <x v="0"/>
    <x v="0"/>
  </r>
  <r>
    <n v="18052"/>
    <x v="0"/>
    <x v="1"/>
    <n v="60000"/>
    <n v="1"/>
    <x v="2"/>
    <s v="Skilled Manual"/>
    <s v="Yes"/>
    <n v="1"/>
    <x v="3"/>
    <x v="1"/>
    <n v="45"/>
    <x v="0"/>
    <x v="0"/>
  </r>
  <r>
    <n v="18058"/>
    <x v="1"/>
    <x v="1"/>
    <n v="20000"/>
    <n v="3"/>
    <x v="1"/>
    <s v="Skilled Manual"/>
    <s v="Yes"/>
    <n v="2"/>
    <x v="2"/>
    <x v="1"/>
    <n v="78"/>
    <x v="1"/>
    <x v="1"/>
  </r>
  <r>
    <n v="18066"/>
    <x v="1"/>
    <x v="0"/>
    <n v="70000"/>
    <n v="5"/>
    <x v="0"/>
    <s v="Management"/>
    <s v="Yes"/>
    <n v="3"/>
    <x v="4"/>
    <x v="1"/>
    <n v="60"/>
    <x v="1"/>
    <x v="0"/>
  </r>
  <r>
    <n v="18069"/>
    <x v="0"/>
    <x v="0"/>
    <n v="70000"/>
    <n v="5"/>
    <x v="0"/>
    <s v="Management"/>
    <s v="Yes"/>
    <n v="4"/>
    <x v="4"/>
    <x v="1"/>
    <n v="60"/>
    <x v="1"/>
    <x v="1"/>
  </r>
  <r>
    <n v="18105"/>
    <x v="0"/>
    <x v="1"/>
    <n v="60000"/>
    <n v="2"/>
    <x v="2"/>
    <s v="Professional"/>
    <s v="Yes"/>
    <n v="1"/>
    <x v="4"/>
    <x v="1"/>
    <n v="55"/>
    <x v="1"/>
    <x v="1"/>
  </r>
  <r>
    <n v="18140"/>
    <x v="0"/>
    <x v="0"/>
    <n v="130000"/>
    <n v="3"/>
    <x v="2"/>
    <s v="Professional"/>
    <s v="No"/>
    <n v="3"/>
    <x v="1"/>
    <x v="2"/>
    <n v="51"/>
    <x v="0"/>
    <x v="0"/>
  </r>
  <r>
    <n v="18144"/>
    <x v="0"/>
    <x v="1"/>
    <n v="80000"/>
    <n v="5"/>
    <x v="0"/>
    <s v="Management"/>
    <s v="Yes"/>
    <n v="2"/>
    <x v="2"/>
    <x v="2"/>
    <n v="61"/>
    <x v="1"/>
    <x v="1"/>
  </r>
  <r>
    <n v="18145"/>
    <x v="0"/>
    <x v="0"/>
    <n v="80000"/>
    <n v="5"/>
    <x v="0"/>
    <s v="Management"/>
    <s v="No"/>
    <n v="2"/>
    <x v="2"/>
    <x v="2"/>
    <n v="62"/>
    <x v="1"/>
    <x v="1"/>
  </r>
  <r>
    <n v="18151"/>
    <x v="1"/>
    <x v="0"/>
    <n v="80000"/>
    <n v="5"/>
    <x v="2"/>
    <s v="Professional"/>
    <s v="No"/>
    <n v="2"/>
    <x v="4"/>
    <x v="2"/>
    <n v="59"/>
    <x v="1"/>
    <x v="1"/>
  </r>
  <r>
    <n v="18153"/>
    <x v="0"/>
    <x v="1"/>
    <n v="100000"/>
    <n v="2"/>
    <x v="0"/>
    <s v="Management"/>
    <s v="Yes"/>
    <n v="4"/>
    <x v="4"/>
    <x v="2"/>
    <n v="59"/>
    <x v="1"/>
    <x v="1"/>
  </r>
  <r>
    <n v="18160"/>
    <x v="0"/>
    <x v="0"/>
    <n v="130000"/>
    <n v="3"/>
    <x v="1"/>
    <s v="Professional"/>
    <s v="Yes"/>
    <n v="4"/>
    <x v="1"/>
    <x v="2"/>
    <n v="51"/>
    <x v="0"/>
    <x v="0"/>
  </r>
  <r>
    <n v="18172"/>
    <x v="0"/>
    <x v="0"/>
    <n v="130000"/>
    <n v="4"/>
    <x v="1"/>
    <s v="Professional"/>
    <s v="Yes"/>
    <n v="3"/>
    <x v="3"/>
    <x v="2"/>
    <n v="55"/>
    <x v="1"/>
    <x v="1"/>
  </r>
  <r>
    <n v="18253"/>
    <x v="0"/>
    <x v="1"/>
    <n v="80000"/>
    <n v="5"/>
    <x v="3"/>
    <s v="Management"/>
    <s v="Yes"/>
    <n v="3"/>
    <x v="3"/>
    <x v="0"/>
    <n v="40"/>
    <x v="0"/>
    <x v="1"/>
  </r>
  <r>
    <n v="18267"/>
    <x v="0"/>
    <x v="0"/>
    <n v="60000"/>
    <n v="3"/>
    <x v="0"/>
    <s v="Professional"/>
    <s v="Yes"/>
    <n v="2"/>
    <x v="1"/>
    <x v="0"/>
    <n v="43"/>
    <x v="0"/>
    <x v="1"/>
  </r>
  <r>
    <n v="18283"/>
    <x v="1"/>
    <x v="1"/>
    <n v="100000"/>
    <n v="0"/>
    <x v="0"/>
    <s v="Professional"/>
    <s v="No"/>
    <n v="1"/>
    <x v="1"/>
    <x v="0"/>
    <n v="40"/>
    <x v="0"/>
    <x v="1"/>
  </r>
  <r>
    <n v="18294"/>
    <x v="0"/>
    <x v="1"/>
    <n v="90000"/>
    <n v="1"/>
    <x v="0"/>
    <s v="Professional"/>
    <s v="Yes"/>
    <n v="1"/>
    <x v="1"/>
    <x v="0"/>
    <n v="46"/>
    <x v="0"/>
    <x v="1"/>
  </r>
  <r>
    <n v="18299"/>
    <x v="0"/>
    <x v="0"/>
    <n v="70000"/>
    <n v="5"/>
    <x v="2"/>
    <s v="Skilled Manual"/>
    <s v="Yes"/>
    <n v="2"/>
    <x v="1"/>
    <x v="0"/>
    <n v="44"/>
    <x v="0"/>
    <x v="1"/>
  </r>
  <r>
    <n v="18322"/>
    <x v="1"/>
    <x v="0"/>
    <n v="30000"/>
    <n v="0"/>
    <x v="4"/>
    <s v="Clerical"/>
    <s v="No"/>
    <n v="2"/>
    <x v="3"/>
    <x v="1"/>
    <n v="26"/>
    <x v="2"/>
    <x v="1"/>
  </r>
  <r>
    <n v="18329"/>
    <x v="1"/>
    <x v="0"/>
    <n v="30000"/>
    <n v="0"/>
    <x v="4"/>
    <s v="Clerical"/>
    <s v="No"/>
    <n v="2"/>
    <x v="1"/>
    <x v="1"/>
    <n v="27"/>
    <x v="2"/>
    <x v="1"/>
  </r>
  <r>
    <n v="18347"/>
    <x v="1"/>
    <x v="1"/>
    <n v="30000"/>
    <n v="0"/>
    <x v="2"/>
    <s v="Skilled Manual"/>
    <s v="No"/>
    <n v="1"/>
    <x v="0"/>
    <x v="1"/>
    <n v="31"/>
    <x v="0"/>
    <x v="1"/>
  </r>
  <r>
    <n v="18363"/>
    <x v="0"/>
    <x v="0"/>
    <n v="40000"/>
    <n v="0"/>
    <x v="1"/>
    <s v="Skilled Manual"/>
    <s v="Yes"/>
    <n v="2"/>
    <x v="1"/>
    <x v="1"/>
    <n v="28"/>
    <x v="2"/>
    <x v="0"/>
  </r>
  <r>
    <n v="18390"/>
    <x v="0"/>
    <x v="0"/>
    <n v="80000"/>
    <n v="5"/>
    <x v="2"/>
    <s v="Professional"/>
    <s v="Yes"/>
    <n v="2"/>
    <x v="3"/>
    <x v="1"/>
    <n v="44"/>
    <x v="0"/>
    <x v="1"/>
  </r>
  <r>
    <n v="18391"/>
    <x v="1"/>
    <x v="1"/>
    <n v="80000"/>
    <n v="5"/>
    <x v="2"/>
    <s v="Professional"/>
    <s v="Yes"/>
    <n v="2"/>
    <x v="1"/>
    <x v="1"/>
    <n v="44"/>
    <x v="0"/>
    <x v="1"/>
  </r>
  <r>
    <n v="18411"/>
    <x v="0"/>
    <x v="0"/>
    <n v="60000"/>
    <n v="2"/>
    <x v="1"/>
    <s v="Professional"/>
    <s v="No"/>
    <n v="2"/>
    <x v="1"/>
    <x v="1"/>
    <n v="51"/>
    <x v="0"/>
    <x v="1"/>
  </r>
  <r>
    <n v="18423"/>
    <x v="1"/>
    <x v="0"/>
    <n v="80000"/>
    <n v="2"/>
    <x v="4"/>
    <s v="Skilled Manual"/>
    <s v="No"/>
    <n v="2"/>
    <x v="0"/>
    <x v="1"/>
    <n v="52"/>
    <x v="0"/>
    <x v="1"/>
  </r>
  <r>
    <n v="18435"/>
    <x v="1"/>
    <x v="1"/>
    <n v="70000"/>
    <n v="5"/>
    <x v="3"/>
    <s v="Management"/>
    <s v="Yes"/>
    <n v="2"/>
    <x v="4"/>
    <x v="1"/>
    <n v="67"/>
    <x v="1"/>
    <x v="0"/>
  </r>
  <r>
    <n v="18484"/>
    <x v="1"/>
    <x v="0"/>
    <n v="80000"/>
    <n v="2"/>
    <x v="1"/>
    <s v="Skilled Manual"/>
    <s v="No"/>
    <n v="2"/>
    <x v="0"/>
    <x v="0"/>
    <n v="50"/>
    <x v="0"/>
    <x v="0"/>
  </r>
  <r>
    <n v="18491"/>
    <x v="1"/>
    <x v="1"/>
    <n v="70000"/>
    <n v="2"/>
    <x v="1"/>
    <s v="Professional"/>
    <s v="Yes"/>
    <n v="2"/>
    <x v="1"/>
    <x v="0"/>
    <n v="49"/>
    <x v="0"/>
    <x v="0"/>
  </r>
  <r>
    <n v="18494"/>
    <x v="0"/>
    <x v="0"/>
    <n v="110000"/>
    <n v="5"/>
    <x v="0"/>
    <s v="Management"/>
    <s v="Yes"/>
    <n v="4"/>
    <x v="2"/>
    <x v="0"/>
    <n v="48"/>
    <x v="0"/>
    <x v="0"/>
  </r>
  <r>
    <n v="18504"/>
    <x v="0"/>
    <x v="0"/>
    <n v="70000"/>
    <n v="2"/>
    <x v="4"/>
    <s v="Skilled Manual"/>
    <s v="No"/>
    <n v="2"/>
    <x v="0"/>
    <x v="1"/>
    <n v="49"/>
    <x v="0"/>
    <x v="1"/>
  </r>
  <r>
    <n v="18517"/>
    <x v="0"/>
    <x v="0"/>
    <n v="100000"/>
    <n v="3"/>
    <x v="0"/>
    <s v="Management"/>
    <s v="Yes"/>
    <n v="4"/>
    <x v="3"/>
    <x v="1"/>
    <n v="41"/>
    <x v="0"/>
    <x v="1"/>
  </r>
  <r>
    <n v="18545"/>
    <x v="0"/>
    <x v="0"/>
    <n v="40000"/>
    <n v="4"/>
    <x v="1"/>
    <s v="Professional"/>
    <s v="No"/>
    <n v="2"/>
    <x v="4"/>
    <x v="1"/>
    <n v="61"/>
    <x v="1"/>
    <x v="0"/>
  </r>
  <r>
    <n v="18560"/>
    <x v="0"/>
    <x v="1"/>
    <n v="70000"/>
    <n v="2"/>
    <x v="3"/>
    <s v="Professional"/>
    <s v="Yes"/>
    <n v="0"/>
    <x v="2"/>
    <x v="1"/>
    <n v="34"/>
    <x v="0"/>
    <x v="0"/>
  </r>
  <r>
    <n v="18572"/>
    <x v="0"/>
    <x v="1"/>
    <n v="60000"/>
    <n v="0"/>
    <x v="3"/>
    <s v="Professional"/>
    <s v="Yes"/>
    <n v="0"/>
    <x v="3"/>
    <x v="1"/>
    <n v="39"/>
    <x v="0"/>
    <x v="1"/>
  </r>
  <r>
    <n v="18577"/>
    <x v="0"/>
    <x v="1"/>
    <n v="60000"/>
    <n v="0"/>
    <x v="3"/>
    <s v="Professional"/>
    <s v="Yes"/>
    <n v="0"/>
    <x v="3"/>
    <x v="1"/>
    <n v="40"/>
    <x v="0"/>
    <x v="1"/>
  </r>
  <r>
    <n v="18580"/>
    <x v="0"/>
    <x v="1"/>
    <n v="60000"/>
    <n v="2"/>
    <x v="3"/>
    <s v="Professional"/>
    <s v="Yes"/>
    <n v="0"/>
    <x v="2"/>
    <x v="1"/>
    <n v="40"/>
    <x v="0"/>
    <x v="0"/>
  </r>
  <r>
    <n v="18594"/>
    <x v="1"/>
    <x v="1"/>
    <n v="80000"/>
    <n v="3"/>
    <x v="0"/>
    <s v="Skilled Manual"/>
    <s v="Yes"/>
    <n v="3"/>
    <x v="4"/>
    <x v="1"/>
    <n v="40"/>
    <x v="0"/>
    <x v="0"/>
  </r>
  <r>
    <n v="18607"/>
    <x v="1"/>
    <x v="1"/>
    <n v="60000"/>
    <n v="4"/>
    <x v="0"/>
    <s v="Skilled Manual"/>
    <s v="Yes"/>
    <n v="2"/>
    <x v="2"/>
    <x v="1"/>
    <n v="42"/>
    <x v="0"/>
    <x v="0"/>
  </r>
  <r>
    <n v="18613"/>
    <x v="1"/>
    <x v="0"/>
    <n v="70000"/>
    <n v="0"/>
    <x v="0"/>
    <s v="Professional"/>
    <s v="No"/>
    <n v="1"/>
    <x v="2"/>
    <x v="1"/>
    <n v="37"/>
    <x v="0"/>
    <x v="0"/>
  </r>
  <r>
    <n v="18626"/>
    <x v="1"/>
    <x v="0"/>
    <n v="40000"/>
    <n v="2"/>
    <x v="2"/>
    <s v="Clerical"/>
    <s v="Yes"/>
    <n v="0"/>
    <x v="0"/>
    <x v="2"/>
    <n v="33"/>
    <x v="0"/>
    <x v="0"/>
  </r>
  <r>
    <n v="18649"/>
    <x v="1"/>
    <x v="0"/>
    <n v="30000"/>
    <n v="1"/>
    <x v="1"/>
    <s v="Clerical"/>
    <s v="Yes"/>
    <n v="2"/>
    <x v="0"/>
    <x v="1"/>
    <n v="51"/>
    <x v="0"/>
    <x v="0"/>
  </r>
  <r>
    <n v="18674"/>
    <x v="1"/>
    <x v="1"/>
    <n v="80000"/>
    <n v="4"/>
    <x v="3"/>
    <s v="Skilled Manual"/>
    <s v="No"/>
    <n v="0"/>
    <x v="3"/>
    <x v="1"/>
    <n v="48"/>
    <x v="0"/>
    <x v="1"/>
  </r>
  <r>
    <n v="18711"/>
    <x v="1"/>
    <x v="1"/>
    <n v="70000"/>
    <n v="5"/>
    <x v="0"/>
    <s v="Professional"/>
    <s v="Yes"/>
    <n v="4"/>
    <x v="4"/>
    <x v="0"/>
    <n v="39"/>
    <x v="0"/>
    <x v="1"/>
  </r>
  <r>
    <n v="18740"/>
    <x v="0"/>
    <x v="0"/>
    <n v="80000"/>
    <n v="5"/>
    <x v="0"/>
    <s v="Professional"/>
    <s v="No"/>
    <n v="1"/>
    <x v="3"/>
    <x v="0"/>
    <n v="47"/>
    <x v="0"/>
    <x v="0"/>
  </r>
  <r>
    <n v="18752"/>
    <x v="1"/>
    <x v="1"/>
    <n v="40000"/>
    <n v="0"/>
    <x v="1"/>
    <s v="Skilled Manual"/>
    <s v="Yes"/>
    <n v="1"/>
    <x v="1"/>
    <x v="1"/>
    <n v="31"/>
    <x v="0"/>
    <x v="1"/>
  </r>
  <r>
    <n v="18783"/>
    <x v="1"/>
    <x v="0"/>
    <n v="80000"/>
    <n v="0"/>
    <x v="0"/>
    <s v="Management"/>
    <s v="No"/>
    <n v="1"/>
    <x v="3"/>
    <x v="1"/>
    <n v="38"/>
    <x v="0"/>
    <x v="0"/>
  </r>
  <r>
    <n v="18847"/>
    <x v="0"/>
    <x v="1"/>
    <n v="60000"/>
    <n v="2"/>
    <x v="3"/>
    <s v="Management"/>
    <s v="Yes"/>
    <n v="2"/>
    <x v="1"/>
    <x v="1"/>
    <n v="70"/>
    <x v="1"/>
    <x v="1"/>
  </r>
  <r>
    <n v="18858"/>
    <x v="1"/>
    <x v="0"/>
    <n v="60000"/>
    <n v="2"/>
    <x v="4"/>
    <s v="Skilled Manual"/>
    <s v="Yes"/>
    <n v="2"/>
    <x v="1"/>
    <x v="1"/>
    <n v="52"/>
    <x v="0"/>
    <x v="0"/>
  </r>
  <r>
    <n v="18891"/>
    <x v="0"/>
    <x v="1"/>
    <n v="40000"/>
    <n v="0"/>
    <x v="2"/>
    <s v="Skilled Manual"/>
    <s v="Yes"/>
    <n v="2"/>
    <x v="1"/>
    <x v="1"/>
    <n v="28"/>
    <x v="2"/>
    <x v="1"/>
  </r>
  <r>
    <n v="18910"/>
    <x v="1"/>
    <x v="0"/>
    <n v="30000"/>
    <n v="0"/>
    <x v="2"/>
    <s v="Skilled Manual"/>
    <s v="Yes"/>
    <n v="2"/>
    <x v="1"/>
    <x v="1"/>
    <n v="30"/>
    <x v="2"/>
    <x v="1"/>
  </r>
  <r>
    <n v="18935"/>
    <x v="0"/>
    <x v="1"/>
    <n v="130000"/>
    <n v="0"/>
    <x v="3"/>
    <s v="Management"/>
    <s v="Yes"/>
    <n v="3"/>
    <x v="0"/>
    <x v="1"/>
    <n v="40"/>
    <x v="0"/>
    <x v="1"/>
  </r>
  <r>
    <n v="18949"/>
    <x v="1"/>
    <x v="0"/>
    <n v="70000"/>
    <n v="0"/>
    <x v="3"/>
    <s v="Management"/>
    <s v="Yes"/>
    <n v="2"/>
    <x v="1"/>
    <x v="1"/>
    <n v="74"/>
    <x v="1"/>
    <x v="0"/>
  </r>
  <r>
    <n v="18952"/>
    <x v="0"/>
    <x v="1"/>
    <n v="100000"/>
    <n v="4"/>
    <x v="0"/>
    <s v="Management"/>
    <s v="Yes"/>
    <n v="4"/>
    <x v="3"/>
    <x v="1"/>
    <n v="40"/>
    <x v="0"/>
    <x v="1"/>
  </r>
  <r>
    <n v="18976"/>
    <x v="1"/>
    <x v="0"/>
    <n v="40000"/>
    <n v="4"/>
    <x v="1"/>
    <s v="Professional"/>
    <s v="Yes"/>
    <n v="2"/>
    <x v="4"/>
    <x v="1"/>
    <n v="62"/>
    <x v="1"/>
    <x v="0"/>
  </r>
  <r>
    <n v="19002"/>
    <x v="0"/>
    <x v="1"/>
    <n v="60000"/>
    <n v="2"/>
    <x v="2"/>
    <s v="Professional"/>
    <s v="Yes"/>
    <n v="1"/>
    <x v="2"/>
    <x v="1"/>
    <n v="57"/>
    <x v="1"/>
    <x v="0"/>
  </r>
  <r>
    <n v="19012"/>
    <x v="0"/>
    <x v="0"/>
    <n v="80000"/>
    <n v="3"/>
    <x v="0"/>
    <s v="Management"/>
    <s v="Yes"/>
    <n v="1"/>
    <x v="0"/>
    <x v="1"/>
    <n v="56"/>
    <x v="1"/>
    <x v="1"/>
  </r>
  <r>
    <n v="19057"/>
    <x v="0"/>
    <x v="1"/>
    <n v="120000"/>
    <n v="3"/>
    <x v="0"/>
    <s v="Management"/>
    <s v="No"/>
    <n v="2"/>
    <x v="4"/>
    <x v="2"/>
    <n v="52"/>
    <x v="0"/>
    <x v="0"/>
  </r>
  <r>
    <n v="19066"/>
    <x v="0"/>
    <x v="0"/>
    <n v="130000"/>
    <n v="4"/>
    <x v="2"/>
    <s v="Professional"/>
    <s v="No"/>
    <n v="3"/>
    <x v="4"/>
    <x v="2"/>
    <n v="54"/>
    <x v="1"/>
    <x v="1"/>
  </r>
  <r>
    <n v="19117"/>
    <x v="1"/>
    <x v="1"/>
    <n v="60000"/>
    <n v="1"/>
    <x v="3"/>
    <s v="Professional"/>
    <s v="Yes"/>
    <n v="0"/>
    <x v="2"/>
    <x v="1"/>
    <n v="36"/>
    <x v="0"/>
    <x v="0"/>
  </r>
  <r>
    <n v="19133"/>
    <x v="1"/>
    <x v="0"/>
    <n v="50000"/>
    <n v="2"/>
    <x v="0"/>
    <s v="Skilled Manual"/>
    <s v="Yes"/>
    <n v="1"/>
    <x v="2"/>
    <x v="1"/>
    <n v="38"/>
    <x v="0"/>
    <x v="0"/>
  </r>
  <r>
    <n v="19143"/>
    <x v="1"/>
    <x v="1"/>
    <n v="80000"/>
    <n v="3"/>
    <x v="0"/>
    <s v="Skilled Manual"/>
    <s v="Yes"/>
    <n v="2"/>
    <x v="2"/>
    <x v="1"/>
    <n v="41"/>
    <x v="0"/>
    <x v="0"/>
  </r>
  <r>
    <n v="19147"/>
    <x v="0"/>
    <x v="0"/>
    <n v="40000"/>
    <n v="0"/>
    <x v="0"/>
    <s v="Professional"/>
    <s v="No"/>
    <n v="1"/>
    <x v="3"/>
    <x v="1"/>
    <n v="42"/>
    <x v="0"/>
    <x v="1"/>
  </r>
  <r>
    <n v="19163"/>
    <x v="0"/>
    <x v="1"/>
    <n v="70000"/>
    <n v="4"/>
    <x v="0"/>
    <s v="Professional"/>
    <s v="Yes"/>
    <n v="2"/>
    <x v="3"/>
    <x v="1"/>
    <n v="43"/>
    <x v="0"/>
    <x v="0"/>
  </r>
  <r>
    <n v="19164"/>
    <x v="1"/>
    <x v="1"/>
    <n v="70000"/>
    <n v="0"/>
    <x v="0"/>
    <s v="Professional"/>
    <s v="No"/>
    <n v="1"/>
    <x v="2"/>
    <x v="1"/>
    <n v="38"/>
    <x v="0"/>
    <x v="0"/>
  </r>
  <r>
    <n v="19174"/>
    <x v="1"/>
    <x v="1"/>
    <n v="30000"/>
    <n v="0"/>
    <x v="1"/>
    <s v="Manual"/>
    <s v="No"/>
    <n v="1"/>
    <x v="2"/>
    <x v="2"/>
    <n v="32"/>
    <x v="0"/>
    <x v="0"/>
  </r>
  <r>
    <n v="19183"/>
    <x v="1"/>
    <x v="0"/>
    <n v="10000"/>
    <n v="0"/>
    <x v="4"/>
    <s v="Manual"/>
    <s v="Yes"/>
    <n v="2"/>
    <x v="0"/>
    <x v="2"/>
    <n v="35"/>
    <x v="0"/>
    <x v="1"/>
  </r>
  <r>
    <n v="19193"/>
    <x v="1"/>
    <x v="0"/>
    <n v="40000"/>
    <n v="2"/>
    <x v="2"/>
    <s v="Clerical"/>
    <s v="Yes"/>
    <n v="0"/>
    <x v="0"/>
    <x v="2"/>
    <n v="35"/>
    <x v="0"/>
    <x v="0"/>
  </r>
  <r>
    <n v="19217"/>
    <x v="0"/>
    <x v="0"/>
    <n v="30000"/>
    <n v="2"/>
    <x v="1"/>
    <s v="Skilled Manual"/>
    <s v="Yes"/>
    <n v="2"/>
    <x v="0"/>
    <x v="1"/>
    <n v="49"/>
    <x v="0"/>
    <x v="1"/>
  </r>
  <r>
    <n v="19223"/>
    <x v="0"/>
    <x v="1"/>
    <n v="30000"/>
    <n v="2"/>
    <x v="1"/>
    <s v="Skilled Manual"/>
    <s v="Yes"/>
    <n v="2"/>
    <x v="0"/>
    <x v="1"/>
    <n v="48"/>
    <x v="0"/>
    <x v="1"/>
  </r>
  <r>
    <n v="19228"/>
    <x v="0"/>
    <x v="1"/>
    <n v="40000"/>
    <n v="2"/>
    <x v="2"/>
    <s v="Clerical"/>
    <s v="Yes"/>
    <n v="1"/>
    <x v="3"/>
    <x v="1"/>
    <n v="48"/>
    <x v="0"/>
    <x v="1"/>
  </r>
  <r>
    <n v="19235"/>
    <x v="0"/>
    <x v="1"/>
    <n v="50000"/>
    <n v="0"/>
    <x v="3"/>
    <s v="Skilled Manual"/>
    <s v="Yes"/>
    <n v="0"/>
    <x v="3"/>
    <x v="1"/>
    <n v="34"/>
    <x v="0"/>
    <x v="1"/>
  </r>
  <r>
    <n v="19255"/>
    <x v="1"/>
    <x v="0"/>
    <n v="10000"/>
    <n v="2"/>
    <x v="2"/>
    <s v="Manual"/>
    <s v="Yes"/>
    <n v="1"/>
    <x v="3"/>
    <x v="2"/>
    <n v="51"/>
    <x v="0"/>
    <x v="0"/>
  </r>
  <r>
    <n v="19273"/>
    <x v="0"/>
    <x v="1"/>
    <n v="20000"/>
    <n v="2"/>
    <x v="2"/>
    <s v="Manual"/>
    <s v="Yes"/>
    <n v="0"/>
    <x v="3"/>
    <x v="2"/>
    <n v="63"/>
    <x v="1"/>
    <x v="1"/>
  </r>
  <r>
    <n v="19280"/>
    <x v="0"/>
    <x v="0"/>
    <n v="120000"/>
    <n v="2"/>
    <x v="2"/>
    <s v="Manual"/>
    <s v="Yes"/>
    <n v="1"/>
    <x v="3"/>
    <x v="2"/>
    <n v="40"/>
    <x v="0"/>
    <x v="0"/>
  </r>
  <r>
    <n v="19291"/>
    <x v="1"/>
    <x v="1"/>
    <n v="10000"/>
    <n v="2"/>
    <x v="1"/>
    <s v="Manual"/>
    <s v="Yes"/>
    <n v="0"/>
    <x v="3"/>
    <x v="2"/>
    <n v="35"/>
    <x v="0"/>
    <x v="1"/>
  </r>
  <r>
    <n v="19299"/>
    <x v="0"/>
    <x v="1"/>
    <n v="50000"/>
    <n v="0"/>
    <x v="3"/>
    <s v="Skilled Manual"/>
    <s v="Yes"/>
    <n v="0"/>
    <x v="3"/>
    <x v="2"/>
    <n v="36"/>
    <x v="0"/>
    <x v="0"/>
  </r>
  <r>
    <n v="19305"/>
    <x v="1"/>
    <x v="1"/>
    <n v="10000"/>
    <n v="2"/>
    <x v="1"/>
    <s v="Manual"/>
    <s v="Yes"/>
    <n v="1"/>
    <x v="3"/>
    <x v="2"/>
    <n v="38"/>
    <x v="0"/>
    <x v="0"/>
  </r>
  <r>
    <n v="19331"/>
    <x v="1"/>
    <x v="0"/>
    <n v="20000"/>
    <n v="2"/>
    <x v="1"/>
    <s v="Manual"/>
    <s v="Yes"/>
    <n v="1"/>
    <x v="3"/>
    <x v="2"/>
    <n v="40"/>
    <x v="0"/>
    <x v="1"/>
  </r>
  <r>
    <n v="19364"/>
    <x v="0"/>
    <x v="0"/>
    <n v="40000"/>
    <n v="1"/>
    <x v="0"/>
    <s v="Skilled Manual"/>
    <s v="Yes"/>
    <n v="0"/>
    <x v="3"/>
    <x v="2"/>
    <n v="43"/>
    <x v="0"/>
    <x v="0"/>
  </r>
  <r>
    <n v="19389"/>
    <x v="1"/>
    <x v="0"/>
    <n v="30000"/>
    <n v="0"/>
    <x v="2"/>
    <s v="Clerical"/>
    <s v="No"/>
    <n v="1"/>
    <x v="2"/>
    <x v="2"/>
    <n v="28"/>
    <x v="2"/>
    <x v="1"/>
  </r>
  <r>
    <n v="19399"/>
    <x v="1"/>
    <x v="0"/>
    <n v="40000"/>
    <n v="0"/>
    <x v="0"/>
    <s v="Professional"/>
    <s v="No"/>
    <n v="1"/>
    <x v="2"/>
    <x v="1"/>
    <n v="45"/>
    <x v="0"/>
    <x v="1"/>
  </r>
  <r>
    <n v="19413"/>
    <x v="1"/>
    <x v="0"/>
    <n v="60000"/>
    <n v="3"/>
    <x v="0"/>
    <s v="Professional"/>
    <s v="No"/>
    <n v="1"/>
    <x v="3"/>
    <x v="1"/>
    <n v="47"/>
    <x v="0"/>
    <x v="0"/>
  </r>
  <r>
    <n v="19441"/>
    <x v="0"/>
    <x v="0"/>
    <n v="40000"/>
    <n v="0"/>
    <x v="3"/>
    <s v="Clerical"/>
    <s v="Yes"/>
    <n v="0"/>
    <x v="3"/>
    <x v="2"/>
    <n v="25"/>
    <x v="2"/>
    <x v="0"/>
  </r>
  <r>
    <n v="19442"/>
    <x v="1"/>
    <x v="0"/>
    <n v="50000"/>
    <n v="0"/>
    <x v="3"/>
    <s v="Skilled Manual"/>
    <s v="Yes"/>
    <n v="0"/>
    <x v="3"/>
    <x v="2"/>
    <n v="37"/>
    <x v="0"/>
    <x v="0"/>
  </r>
  <r>
    <n v="19445"/>
    <x v="0"/>
    <x v="1"/>
    <n v="10000"/>
    <n v="2"/>
    <x v="1"/>
    <s v="Manual"/>
    <s v="No"/>
    <n v="1"/>
    <x v="3"/>
    <x v="2"/>
    <n v="38"/>
    <x v="0"/>
    <x v="1"/>
  </r>
  <r>
    <n v="19461"/>
    <x v="1"/>
    <x v="1"/>
    <n v="10000"/>
    <n v="4"/>
    <x v="4"/>
    <s v="Manual"/>
    <s v="Yes"/>
    <n v="2"/>
    <x v="3"/>
    <x v="2"/>
    <n v="40"/>
    <x v="0"/>
    <x v="1"/>
  </r>
  <r>
    <n v="19475"/>
    <x v="0"/>
    <x v="1"/>
    <n v="40000"/>
    <n v="0"/>
    <x v="0"/>
    <s v="Professional"/>
    <s v="No"/>
    <n v="0"/>
    <x v="3"/>
    <x v="2"/>
    <n v="40"/>
    <x v="0"/>
    <x v="0"/>
  </r>
  <r>
    <n v="19477"/>
    <x v="0"/>
    <x v="0"/>
    <n v="40000"/>
    <n v="0"/>
    <x v="0"/>
    <s v="Professional"/>
    <s v="Yes"/>
    <n v="0"/>
    <x v="3"/>
    <x v="2"/>
    <n v="40"/>
    <x v="0"/>
    <x v="0"/>
  </r>
  <r>
    <n v="19482"/>
    <x v="0"/>
    <x v="0"/>
    <n v="30000"/>
    <n v="1"/>
    <x v="2"/>
    <s v="Clerical"/>
    <s v="Yes"/>
    <n v="1"/>
    <x v="3"/>
    <x v="2"/>
    <n v="44"/>
    <x v="0"/>
    <x v="0"/>
  </r>
  <r>
    <n v="19487"/>
    <x v="0"/>
    <x v="0"/>
    <n v="30000"/>
    <n v="2"/>
    <x v="2"/>
    <s v="Clerical"/>
    <s v="No"/>
    <n v="2"/>
    <x v="3"/>
    <x v="2"/>
    <n v="42"/>
    <x v="0"/>
    <x v="1"/>
  </r>
  <r>
    <n v="19491"/>
    <x v="1"/>
    <x v="0"/>
    <n v="30000"/>
    <n v="2"/>
    <x v="2"/>
    <s v="Clerical"/>
    <s v="Yes"/>
    <n v="2"/>
    <x v="3"/>
    <x v="2"/>
    <n v="42"/>
    <x v="0"/>
    <x v="1"/>
  </r>
  <r>
    <n v="19508"/>
    <x v="0"/>
    <x v="0"/>
    <n v="10000"/>
    <n v="0"/>
    <x v="4"/>
    <s v="Manual"/>
    <s v="No"/>
    <n v="2"/>
    <x v="3"/>
    <x v="2"/>
    <n v="30"/>
    <x v="2"/>
    <x v="1"/>
  </r>
  <r>
    <n v="19543"/>
    <x v="0"/>
    <x v="0"/>
    <n v="70000"/>
    <n v="5"/>
    <x v="3"/>
    <s v="Professional"/>
    <s v="No"/>
    <n v="3"/>
    <x v="4"/>
    <x v="1"/>
    <n v="47"/>
    <x v="0"/>
    <x v="1"/>
  </r>
  <r>
    <n v="19562"/>
    <x v="1"/>
    <x v="1"/>
    <n v="60000"/>
    <n v="2"/>
    <x v="0"/>
    <s v="Professional"/>
    <s v="Yes"/>
    <n v="1"/>
    <x v="2"/>
    <x v="0"/>
    <n v="37"/>
    <x v="0"/>
    <x v="0"/>
  </r>
  <r>
    <n v="19608"/>
    <x v="0"/>
    <x v="0"/>
    <n v="80000"/>
    <n v="5"/>
    <x v="0"/>
    <s v="Professional"/>
    <s v="Yes"/>
    <n v="4"/>
    <x v="0"/>
    <x v="0"/>
    <n v="40"/>
    <x v="0"/>
    <x v="1"/>
  </r>
  <r>
    <n v="19618"/>
    <x v="0"/>
    <x v="0"/>
    <n v="70000"/>
    <n v="5"/>
    <x v="2"/>
    <s v="Skilled Manual"/>
    <s v="Yes"/>
    <n v="2"/>
    <x v="3"/>
    <x v="0"/>
    <n v="44"/>
    <x v="0"/>
    <x v="1"/>
  </r>
  <r>
    <n v="19626"/>
    <x v="0"/>
    <x v="0"/>
    <n v="70000"/>
    <n v="5"/>
    <x v="2"/>
    <s v="Skilled Manual"/>
    <s v="Yes"/>
    <n v="3"/>
    <x v="1"/>
    <x v="0"/>
    <n v="45"/>
    <x v="0"/>
    <x v="1"/>
  </r>
  <r>
    <n v="19634"/>
    <x v="0"/>
    <x v="0"/>
    <n v="40000"/>
    <n v="0"/>
    <x v="1"/>
    <s v="Skilled Manual"/>
    <s v="Yes"/>
    <n v="1"/>
    <x v="1"/>
    <x v="1"/>
    <n v="31"/>
    <x v="0"/>
    <x v="1"/>
  </r>
  <r>
    <n v="19650"/>
    <x v="0"/>
    <x v="1"/>
    <n v="30000"/>
    <n v="2"/>
    <x v="2"/>
    <s v="Clerical"/>
    <s v="No"/>
    <n v="2"/>
    <x v="3"/>
    <x v="0"/>
    <n v="67"/>
    <x v="1"/>
    <x v="1"/>
  </r>
  <r>
    <n v="19660"/>
    <x v="0"/>
    <x v="0"/>
    <n v="80000"/>
    <n v="4"/>
    <x v="0"/>
    <s v="Management"/>
    <s v="Yes"/>
    <n v="0"/>
    <x v="3"/>
    <x v="1"/>
    <n v="43"/>
    <x v="0"/>
    <x v="1"/>
  </r>
  <r>
    <n v="19661"/>
    <x v="1"/>
    <x v="0"/>
    <n v="90000"/>
    <n v="4"/>
    <x v="0"/>
    <s v="Management"/>
    <s v="Yes"/>
    <n v="1"/>
    <x v="0"/>
    <x v="1"/>
    <n v="38"/>
    <x v="0"/>
    <x v="0"/>
  </r>
  <r>
    <n v="19664"/>
    <x v="1"/>
    <x v="0"/>
    <n v="100000"/>
    <n v="3"/>
    <x v="0"/>
    <s v="Management"/>
    <s v="No"/>
    <n v="3"/>
    <x v="0"/>
    <x v="1"/>
    <n v="38"/>
    <x v="0"/>
    <x v="1"/>
  </r>
  <r>
    <n v="19675"/>
    <x v="0"/>
    <x v="0"/>
    <n v="20000"/>
    <n v="4"/>
    <x v="1"/>
    <s v="Skilled Manual"/>
    <s v="Yes"/>
    <n v="2"/>
    <x v="1"/>
    <x v="0"/>
    <n v="60"/>
    <x v="1"/>
    <x v="1"/>
  </r>
  <r>
    <n v="19731"/>
    <x v="0"/>
    <x v="0"/>
    <n v="80000"/>
    <n v="4"/>
    <x v="3"/>
    <s v="Management"/>
    <s v="Yes"/>
    <n v="2"/>
    <x v="1"/>
    <x v="1"/>
    <n v="68"/>
    <x v="1"/>
    <x v="1"/>
  </r>
  <r>
    <n v="19741"/>
    <x v="1"/>
    <x v="1"/>
    <n v="80000"/>
    <n v="4"/>
    <x v="3"/>
    <s v="Management"/>
    <s v="Yes"/>
    <n v="2"/>
    <x v="1"/>
    <x v="1"/>
    <n v="65"/>
    <x v="1"/>
    <x v="1"/>
  </r>
  <r>
    <n v="19747"/>
    <x v="0"/>
    <x v="0"/>
    <n v="50000"/>
    <n v="4"/>
    <x v="0"/>
    <s v="Management"/>
    <s v="Yes"/>
    <n v="2"/>
    <x v="4"/>
    <x v="1"/>
    <n v="63"/>
    <x v="1"/>
    <x v="1"/>
  </r>
  <r>
    <n v="19748"/>
    <x v="0"/>
    <x v="0"/>
    <n v="20000"/>
    <n v="4"/>
    <x v="1"/>
    <s v="Skilled Manual"/>
    <s v="No"/>
    <n v="2"/>
    <x v="0"/>
    <x v="0"/>
    <n v="60"/>
    <x v="1"/>
    <x v="1"/>
  </r>
  <r>
    <n v="19758"/>
    <x v="1"/>
    <x v="0"/>
    <n v="60000"/>
    <n v="0"/>
    <x v="2"/>
    <s v="Skilled Manual"/>
    <s v="No"/>
    <n v="2"/>
    <x v="0"/>
    <x v="1"/>
    <n v="29"/>
    <x v="2"/>
    <x v="1"/>
  </r>
  <r>
    <n v="19784"/>
    <x v="0"/>
    <x v="1"/>
    <n v="80000"/>
    <n v="2"/>
    <x v="1"/>
    <s v="Skilled Manual"/>
    <s v="Yes"/>
    <n v="2"/>
    <x v="1"/>
    <x v="0"/>
    <n v="50"/>
    <x v="0"/>
    <x v="0"/>
  </r>
  <r>
    <n v="19812"/>
    <x v="1"/>
    <x v="1"/>
    <n v="70000"/>
    <n v="2"/>
    <x v="2"/>
    <s v="Professional"/>
    <s v="Yes"/>
    <n v="0"/>
    <x v="1"/>
    <x v="1"/>
    <n v="49"/>
    <x v="0"/>
    <x v="0"/>
  </r>
  <r>
    <n v="19856"/>
    <x v="0"/>
    <x v="1"/>
    <n v="60000"/>
    <n v="4"/>
    <x v="0"/>
    <s v="Management"/>
    <s v="Yes"/>
    <n v="2"/>
    <x v="2"/>
    <x v="1"/>
    <n v="60"/>
    <x v="1"/>
    <x v="1"/>
  </r>
  <r>
    <n v="19884"/>
    <x v="0"/>
    <x v="0"/>
    <n v="60000"/>
    <n v="2"/>
    <x v="1"/>
    <s v="Professional"/>
    <s v="Yes"/>
    <n v="2"/>
    <x v="2"/>
    <x v="1"/>
    <n v="55"/>
    <x v="1"/>
    <x v="0"/>
  </r>
  <r>
    <n v="19889"/>
    <x v="1"/>
    <x v="1"/>
    <n v="70000"/>
    <n v="2"/>
    <x v="4"/>
    <s v="Skilled Manual"/>
    <s v="No"/>
    <n v="2"/>
    <x v="2"/>
    <x v="1"/>
    <n v="54"/>
    <x v="1"/>
    <x v="0"/>
  </r>
  <r>
    <n v="19914"/>
    <x v="0"/>
    <x v="0"/>
    <n v="80000"/>
    <n v="5"/>
    <x v="0"/>
    <s v="Management"/>
    <s v="Yes"/>
    <n v="2"/>
    <x v="2"/>
    <x v="2"/>
    <n v="62"/>
    <x v="1"/>
    <x v="1"/>
  </r>
  <r>
    <n v="20000"/>
    <x v="0"/>
    <x v="0"/>
    <n v="60000"/>
    <n v="1"/>
    <x v="3"/>
    <s v="Professional"/>
    <s v="Yes"/>
    <n v="0"/>
    <x v="3"/>
    <x v="1"/>
    <n v="35"/>
    <x v="0"/>
    <x v="0"/>
  </r>
  <r>
    <n v="20053"/>
    <x v="1"/>
    <x v="0"/>
    <n v="40000"/>
    <n v="2"/>
    <x v="2"/>
    <s v="Clerical"/>
    <s v="Yes"/>
    <n v="0"/>
    <x v="3"/>
    <x v="2"/>
    <n v="34"/>
    <x v="0"/>
    <x v="1"/>
  </r>
  <r>
    <n v="20060"/>
    <x v="1"/>
    <x v="1"/>
    <n v="30000"/>
    <n v="0"/>
    <x v="1"/>
    <s v="Manual"/>
    <s v="No"/>
    <n v="1"/>
    <x v="2"/>
    <x v="2"/>
    <n v="34"/>
    <x v="0"/>
    <x v="0"/>
  </r>
  <r>
    <n v="20076"/>
    <x v="1"/>
    <x v="1"/>
    <n v="10000"/>
    <n v="2"/>
    <x v="1"/>
    <s v="Manual"/>
    <s v="Yes"/>
    <n v="2"/>
    <x v="0"/>
    <x v="1"/>
    <n v="53"/>
    <x v="0"/>
    <x v="0"/>
  </r>
  <r>
    <n v="20084"/>
    <x v="0"/>
    <x v="0"/>
    <n v="20000"/>
    <n v="2"/>
    <x v="1"/>
    <s v="Manual"/>
    <s v="No"/>
    <n v="2"/>
    <x v="3"/>
    <x v="1"/>
    <n v="53"/>
    <x v="0"/>
    <x v="1"/>
  </r>
  <r>
    <n v="20147"/>
    <x v="0"/>
    <x v="1"/>
    <n v="30000"/>
    <n v="1"/>
    <x v="0"/>
    <s v="Clerical"/>
    <s v="Yes"/>
    <n v="0"/>
    <x v="3"/>
    <x v="2"/>
    <n v="65"/>
    <x v="1"/>
    <x v="1"/>
  </r>
  <r>
    <n v="20171"/>
    <x v="0"/>
    <x v="1"/>
    <n v="20000"/>
    <n v="2"/>
    <x v="2"/>
    <s v="Manual"/>
    <s v="Yes"/>
    <n v="1"/>
    <x v="3"/>
    <x v="2"/>
    <n v="46"/>
    <x v="0"/>
    <x v="0"/>
  </r>
  <r>
    <n v="20196"/>
    <x v="0"/>
    <x v="0"/>
    <n v="60000"/>
    <n v="1"/>
    <x v="2"/>
    <s v="Skilled Manual"/>
    <s v="Yes"/>
    <n v="1"/>
    <x v="2"/>
    <x v="1"/>
    <n v="45"/>
    <x v="0"/>
    <x v="0"/>
  </r>
  <r>
    <n v="20228"/>
    <x v="0"/>
    <x v="0"/>
    <n v="100000"/>
    <n v="0"/>
    <x v="3"/>
    <s v="Management"/>
    <s v="Yes"/>
    <n v="0"/>
    <x v="2"/>
    <x v="0"/>
    <n v="40"/>
    <x v="0"/>
    <x v="0"/>
  </r>
  <r>
    <n v="20236"/>
    <x v="1"/>
    <x v="0"/>
    <n v="60000"/>
    <n v="3"/>
    <x v="0"/>
    <s v="Professional"/>
    <s v="No"/>
    <n v="2"/>
    <x v="3"/>
    <x v="0"/>
    <n v="43"/>
    <x v="0"/>
    <x v="0"/>
  </r>
  <r>
    <n v="20277"/>
    <x v="0"/>
    <x v="1"/>
    <n v="30000"/>
    <n v="2"/>
    <x v="2"/>
    <s v="Clerical"/>
    <s v="No"/>
    <n v="2"/>
    <x v="3"/>
    <x v="0"/>
    <n v="69"/>
    <x v="1"/>
    <x v="1"/>
  </r>
  <r>
    <n v="20296"/>
    <x v="1"/>
    <x v="1"/>
    <n v="60000"/>
    <n v="0"/>
    <x v="2"/>
    <s v="Skilled Manual"/>
    <s v="No"/>
    <n v="1"/>
    <x v="0"/>
    <x v="1"/>
    <n v="33"/>
    <x v="0"/>
    <x v="0"/>
  </r>
  <r>
    <n v="20310"/>
    <x v="1"/>
    <x v="0"/>
    <n v="60000"/>
    <n v="0"/>
    <x v="2"/>
    <s v="Skilled Manual"/>
    <s v="Yes"/>
    <n v="1"/>
    <x v="1"/>
    <x v="1"/>
    <n v="27"/>
    <x v="2"/>
    <x v="0"/>
  </r>
  <r>
    <n v="20339"/>
    <x v="0"/>
    <x v="1"/>
    <n v="130000"/>
    <n v="1"/>
    <x v="0"/>
    <s v="Management"/>
    <s v="Yes"/>
    <n v="4"/>
    <x v="2"/>
    <x v="1"/>
    <n v="44"/>
    <x v="0"/>
    <x v="0"/>
  </r>
  <r>
    <n v="20343"/>
    <x v="0"/>
    <x v="1"/>
    <n v="90000"/>
    <n v="4"/>
    <x v="2"/>
    <s v="Professional"/>
    <s v="Yes"/>
    <n v="1"/>
    <x v="0"/>
    <x v="1"/>
    <n v="45"/>
    <x v="0"/>
    <x v="1"/>
  </r>
  <r>
    <n v="20361"/>
    <x v="0"/>
    <x v="0"/>
    <n v="50000"/>
    <n v="2"/>
    <x v="3"/>
    <s v="Management"/>
    <s v="Yes"/>
    <n v="2"/>
    <x v="1"/>
    <x v="1"/>
    <n v="69"/>
    <x v="1"/>
    <x v="1"/>
  </r>
  <r>
    <n v="20370"/>
    <x v="0"/>
    <x v="0"/>
    <n v="70000"/>
    <n v="3"/>
    <x v="4"/>
    <s v="Skilled Manual"/>
    <s v="Yes"/>
    <n v="2"/>
    <x v="1"/>
    <x v="1"/>
    <n v="52"/>
    <x v="0"/>
    <x v="1"/>
  </r>
  <r>
    <n v="20376"/>
    <x v="1"/>
    <x v="1"/>
    <n v="70000"/>
    <n v="3"/>
    <x v="3"/>
    <s v="Management"/>
    <s v="Yes"/>
    <n v="2"/>
    <x v="1"/>
    <x v="1"/>
    <n v="52"/>
    <x v="0"/>
    <x v="0"/>
  </r>
  <r>
    <n v="20380"/>
    <x v="0"/>
    <x v="1"/>
    <n v="60000"/>
    <n v="3"/>
    <x v="3"/>
    <s v="Management"/>
    <s v="Yes"/>
    <n v="2"/>
    <x v="4"/>
    <x v="1"/>
    <n v="69"/>
    <x v="1"/>
    <x v="1"/>
  </r>
  <r>
    <n v="20401"/>
    <x v="0"/>
    <x v="1"/>
    <n v="50000"/>
    <n v="4"/>
    <x v="0"/>
    <s v="Management"/>
    <s v="Yes"/>
    <n v="2"/>
    <x v="0"/>
    <x v="1"/>
    <n v="64"/>
    <x v="1"/>
    <x v="0"/>
  </r>
  <r>
    <n v="20414"/>
    <x v="0"/>
    <x v="1"/>
    <n v="60000"/>
    <n v="0"/>
    <x v="2"/>
    <s v="Skilled Manual"/>
    <s v="Yes"/>
    <n v="2"/>
    <x v="1"/>
    <x v="1"/>
    <n v="29"/>
    <x v="2"/>
    <x v="1"/>
  </r>
  <r>
    <n v="20417"/>
    <x v="0"/>
    <x v="0"/>
    <n v="30000"/>
    <n v="3"/>
    <x v="2"/>
    <s v="Clerical"/>
    <s v="No"/>
    <n v="2"/>
    <x v="1"/>
    <x v="0"/>
    <n v="56"/>
    <x v="1"/>
    <x v="1"/>
  </r>
  <r>
    <n v="20421"/>
    <x v="1"/>
    <x v="1"/>
    <n v="40000"/>
    <n v="0"/>
    <x v="4"/>
    <s v="Clerical"/>
    <s v="Yes"/>
    <n v="2"/>
    <x v="1"/>
    <x v="1"/>
    <n v="26"/>
    <x v="2"/>
    <x v="1"/>
  </r>
  <r>
    <n v="20430"/>
    <x v="0"/>
    <x v="0"/>
    <n v="70000"/>
    <n v="2"/>
    <x v="2"/>
    <s v="Skilled Manual"/>
    <s v="Yes"/>
    <n v="2"/>
    <x v="1"/>
    <x v="0"/>
    <n v="52"/>
    <x v="0"/>
    <x v="0"/>
  </r>
  <r>
    <n v="20504"/>
    <x v="0"/>
    <x v="1"/>
    <n v="40000"/>
    <n v="5"/>
    <x v="1"/>
    <s v="Professional"/>
    <s v="No"/>
    <n v="2"/>
    <x v="2"/>
    <x v="1"/>
    <n v="60"/>
    <x v="1"/>
    <x v="1"/>
  </r>
  <r>
    <n v="20505"/>
    <x v="0"/>
    <x v="1"/>
    <n v="40000"/>
    <n v="5"/>
    <x v="1"/>
    <s v="Professional"/>
    <s v="No"/>
    <n v="2"/>
    <x v="4"/>
    <x v="1"/>
    <n v="61"/>
    <x v="1"/>
    <x v="1"/>
  </r>
  <r>
    <n v="20514"/>
    <x v="0"/>
    <x v="1"/>
    <n v="70000"/>
    <n v="2"/>
    <x v="2"/>
    <s v="Professional"/>
    <s v="Yes"/>
    <n v="1"/>
    <x v="2"/>
    <x v="1"/>
    <n v="59"/>
    <x v="1"/>
    <x v="1"/>
  </r>
  <r>
    <n v="20518"/>
    <x v="0"/>
    <x v="1"/>
    <n v="70000"/>
    <n v="2"/>
    <x v="2"/>
    <s v="Professional"/>
    <s v="Yes"/>
    <n v="1"/>
    <x v="4"/>
    <x v="1"/>
    <n v="58"/>
    <x v="1"/>
    <x v="1"/>
  </r>
  <r>
    <n v="20528"/>
    <x v="0"/>
    <x v="0"/>
    <n v="40000"/>
    <n v="2"/>
    <x v="4"/>
    <s v="Skilled Manual"/>
    <s v="Yes"/>
    <n v="2"/>
    <x v="2"/>
    <x v="1"/>
    <n v="55"/>
    <x v="1"/>
    <x v="1"/>
  </r>
  <r>
    <n v="20535"/>
    <x v="0"/>
    <x v="1"/>
    <n v="70000"/>
    <n v="4"/>
    <x v="2"/>
    <s v="Professional"/>
    <s v="Yes"/>
    <n v="1"/>
    <x v="4"/>
    <x v="1"/>
    <n v="56"/>
    <x v="1"/>
    <x v="1"/>
  </r>
  <r>
    <n v="20567"/>
    <x v="0"/>
    <x v="0"/>
    <n v="130000"/>
    <n v="4"/>
    <x v="2"/>
    <s v="Professional"/>
    <s v="No"/>
    <n v="4"/>
    <x v="1"/>
    <x v="2"/>
    <n v="61"/>
    <x v="1"/>
    <x v="0"/>
  </r>
  <r>
    <n v="20598"/>
    <x v="0"/>
    <x v="0"/>
    <n v="100000"/>
    <n v="3"/>
    <x v="4"/>
    <s v="Professional"/>
    <s v="Yes"/>
    <n v="0"/>
    <x v="4"/>
    <x v="2"/>
    <n v="59"/>
    <x v="1"/>
    <x v="0"/>
  </r>
  <r>
    <n v="20606"/>
    <x v="0"/>
    <x v="1"/>
    <n v="70000"/>
    <n v="0"/>
    <x v="0"/>
    <s v="Professional"/>
    <s v="Yes"/>
    <n v="4"/>
    <x v="4"/>
    <x v="0"/>
    <n v="32"/>
    <x v="0"/>
    <x v="0"/>
  </r>
  <r>
    <n v="20619"/>
    <x v="1"/>
    <x v="0"/>
    <n v="80000"/>
    <n v="0"/>
    <x v="0"/>
    <s v="Professional"/>
    <s v="No"/>
    <n v="4"/>
    <x v="4"/>
    <x v="0"/>
    <n v="35"/>
    <x v="0"/>
    <x v="1"/>
  </r>
  <r>
    <n v="20625"/>
    <x v="0"/>
    <x v="0"/>
    <n v="100000"/>
    <n v="0"/>
    <x v="1"/>
    <s v="Management"/>
    <s v="Yes"/>
    <n v="3"/>
    <x v="4"/>
    <x v="0"/>
    <n v="35"/>
    <x v="0"/>
    <x v="0"/>
  </r>
  <r>
    <n v="20657"/>
    <x v="1"/>
    <x v="0"/>
    <n v="50000"/>
    <n v="2"/>
    <x v="0"/>
    <s v="Skilled Manual"/>
    <s v="Yes"/>
    <n v="0"/>
    <x v="2"/>
    <x v="1"/>
    <n v="37"/>
    <x v="0"/>
    <x v="0"/>
  </r>
  <r>
    <n v="20659"/>
    <x v="0"/>
    <x v="0"/>
    <n v="70000"/>
    <n v="3"/>
    <x v="3"/>
    <s v="Professional"/>
    <s v="Yes"/>
    <n v="0"/>
    <x v="3"/>
    <x v="1"/>
    <n v="35"/>
    <x v="0"/>
    <x v="0"/>
  </r>
  <r>
    <n v="20678"/>
    <x v="1"/>
    <x v="1"/>
    <n v="60000"/>
    <n v="3"/>
    <x v="0"/>
    <s v="Skilled Manual"/>
    <s v="Yes"/>
    <n v="1"/>
    <x v="2"/>
    <x v="1"/>
    <n v="40"/>
    <x v="0"/>
    <x v="0"/>
  </r>
  <r>
    <n v="20698"/>
    <x v="0"/>
    <x v="0"/>
    <n v="60000"/>
    <n v="4"/>
    <x v="0"/>
    <s v="Skilled Manual"/>
    <s v="Yes"/>
    <n v="3"/>
    <x v="1"/>
    <x v="1"/>
    <n v="42"/>
    <x v="0"/>
    <x v="1"/>
  </r>
  <r>
    <n v="20711"/>
    <x v="0"/>
    <x v="1"/>
    <n v="40000"/>
    <n v="1"/>
    <x v="0"/>
    <s v="Skilled Manual"/>
    <s v="Yes"/>
    <n v="0"/>
    <x v="0"/>
    <x v="2"/>
    <n v="32"/>
    <x v="0"/>
    <x v="0"/>
  </r>
  <r>
    <n v="20729"/>
    <x v="0"/>
    <x v="1"/>
    <n v="40000"/>
    <n v="2"/>
    <x v="2"/>
    <s v="Clerical"/>
    <s v="No"/>
    <n v="1"/>
    <x v="3"/>
    <x v="2"/>
    <n v="34"/>
    <x v="0"/>
    <x v="1"/>
  </r>
  <r>
    <n v="20754"/>
    <x v="0"/>
    <x v="0"/>
    <n v="30000"/>
    <n v="2"/>
    <x v="1"/>
    <s v="Skilled Manual"/>
    <s v="Yes"/>
    <n v="2"/>
    <x v="0"/>
    <x v="1"/>
    <n v="51"/>
    <x v="0"/>
    <x v="1"/>
  </r>
  <r>
    <n v="20758"/>
    <x v="0"/>
    <x v="0"/>
    <n v="30000"/>
    <n v="2"/>
    <x v="1"/>
    <s v="Skilled Manual"/>
    <s v="Yes"/>
    <n v="2"/>
    <x v="0"/>
    <x v="1"/>
    <n v="50"/>
    <x v="0"/>
    <x v="1"/>
  </r>
  <r>
    <n v="20797"/>
    <x v="0"/>
    <x v="1"/>
    <n v="10000"/>
    <n v="1"/>
    <x v="0"/>
    <s v="Manual"/>
    <s v="Yes"/>
    <n v="0"/>
    <x v="3"/>
    <x v="2"/>
    <n v="48"/>
    <x v="0"/>
    <x v="1"/>
  </r>
  <r>
    <n v="20828"/>
    <x v="0"/>
    <x v="1"/>
    <n v="30000"/>
    <n v="4"/>
    <x v="3"/>
    <s v="Clerical"/>
    <s v="Yes"/>
    <n v="0"/>
    <x v="3"/>
    <x v="2"/>
    <n v="45"/>
    <x v="0"/>
    <x v="0"/>
  </r>
  <r>
    <n v="20839"/>
    <x v="1"/>
    <x v="1"/>
    <n v="30000"/>
    <n v="3"/>
    <x v="3"/>
    <s v="Clerical"/>
    <s v="Yes"/>
    <n v="0"/>
    <x v="3"/>
    <x v="2"/>
    <n v="47"/>
    <x v="0"/>
    <x v="0"/>
  </r>
  <r>
    <n v="20851"/>
    <x v="1"/>
    <x v="0"/>
    <n v="20000"/>
    <n v="0"/>
    <x v="2"/>
    <s v="Manual"/>
    <s v="No"/>
    <n v="1"/>
    <x v="2"/>
    <x v="2"/>
    <n v="36"/>
    <x v="0"/>
    <x v="0"/>
  </r>
  <r>
    <n v="20870"/>
    <x v="1"/>
    <x v="1"/>
    <n v="10000"/>
    <n v="2"/>
    <x v="1"/>
    <s v="Manual"/>
    <s v="Yes"/>
    <n v="1"/>
    <x v="3"/>
    <x v="2"/>
    <n v="38"/>
    <x v="0"/>
    <x v="0"/>
  </r>
  <r>
    <n v="20877"/>
    <x v="1"/>
    <x v="0"/>
    <n v="30000"/>
    <n v="1"/>
    <x v="0"/>
    <s v="Clerical"/>
    <s v="Yes"/>
    <n v="0"/>
    <x v="0"/>
    <x v="2"/>
    <n v="37"/>
    <x v="0"/>
    <x v="0"/>
  </r>
  <r>
    <n v="20897"/>
    <x v="0"/>
    <x v="1"/>
    <n v="30000"/>
    <n v="1"/>
    <x v="0"/>
    <s v="Skilled Manual"/>
    <s v="Yes"/>
    <n v="2"/>
    <x v="3"/>
    <x v="2"/>
    <n v="40"/>
    <x v="0"/>
    <x v="1"/>
  </r>
  <r>
    <n v="20919"/>
    <x v="1"/>
    <x v="1"/>
    <n v="30000"/>
    <n v="2"/>
    <x v="2"/>
    <s v="Clerical"/>
    <s v="Yes"/>
    <n v="2"/>
    <x v="3"/>
    <x v="2"/>
    <n v="42"/>
    <x v="0"/>
    <x v="1"/>
  </r>
  <r>
    <n v="20923"/>
    <x v="0"/>
    <x v="1"/>
    <n v="40000"/>
    <n v="1"/>
    <x v="0"/>
    <s v="Skilled Manual"/>
    <s v="Yes"/>
    <n v="0"/>
    <x v="3"/>
    <x v="2"/>
    <n v="42"/>
    <x v="0"/>
    <x v="0"/>
  </r>
  <r>
    <n v="20927"/>
    <x v="1"/>
    <x v="1"/>
    <n v="20000"/>
    <n v="5"/>
    <x v="1"/>
    <s v="Manual"/>
    <s v="Yes"/>
    <n v="2"/>
    <x v="3"/>
    <x v="2"/>
    <n v="27"/>
    <x v="2"/>
    <x v="1"/>
  </r>
  <r>
    <n v="20942"/>
    <x v="1"/>
    <x v="1"/>
    <n v="20000"/>
    <n v="0"/>
    <x v="1"/>
    <s v="Manual"/>
    <s v="No"/>
    <n v="1"/>
    <x v="1"/>
    <x v="2"/>
    <n v="31"/>
    <x v="0"/>
    <x v="1"/>
  </r>
  <r>
    <n v="20946"/>
    <x v="1"/>
    <x v="1"/>
    <n v="30000"/>
    <n v="0"/>
    <x v="2"/>
    <s v="Clerical"/>
    <s v="No"/>
    <n v="1"/>
    <x v="2"/>
    <x v="2"/>
    <n v="30"/>
    <x v="2"/>
    <x v="1"/>
  </r>
  <r>
    <n v="20962"/>
    <x v="0"/>
    <x v="1"/>
    <n v="20000"/>
    <n v="1"/>
    <x v="3"/>
    <s v="Clerical"/>
    <s v="Yes"/>
    <n v="0"/>
    <x v="3"/>
    <x v="2"/>
    <n v="45"/>
    <x v="0"/>
    <x v="1"/>
  </r>
  <r>
    <n v="20970"/>
    <x v="1"/>
    <x v="0"/>
    <n v="10000"/>
    <n v="2"/>
    <x v="2"/>
    <s v="Manual"/>
    <s v="Yes"/>
    <n v="1"/>
    <x v="3"/>
    <x v="2"/>
    <n v="52"/>
    <x v="0"/>
    <x v="0"/>
  </r>
  <r>
    <n v="20974"/>
    <x v="0"/>
    <x v="0"/>
    <n v="10000"/>
    <n v="2"/>
    <x v="0"/>
    <s v="Clerical"/>
    <s v="Yes"/>
    <n v="1"/>
    <x v="3"/>
    <x v="2"/>
    <n v="66"/>
    <x v="1"/>
    <x v="1"/>
  </r>
  <r>
    <n v="20977"/>
    <x v="0"/>
    <x v="0"/>
    <n v="20000"/>
    <n v="1"/>
    <x v="0"/>
    <s v="Clerical"/>
    <s v="Yes"/>
    <n v="0"/>
    <x v="3"/>
    <x v="2"/>
    <n v="64"/>
    <x v="1"/>
    <x v="0"/>
  </r>
  <r>
    <n v="20994"/>
    <x v="0"/>
    <x v="1"/>
    <n v="20000"/>
    <n v="0"/>
    <x v="0"/>
    <s v="Clerical"/>
    <s v="No"/>
    <n v="0"/>
    <x v="3"/>
    <x v="0"/>
    <n v="26"/>
    <x v="2"/>
    <x v="0"/>
  </r>
  <r>
    <n v="21006"/>
    <x v="1"/>
    <x v="1"/>
    <n v="30000"/>
    <n v="1"/>
    <x v="2"/>
    <s v="Manual"/>
    <s v="No"/>
    <n v="0"/>
    <x v="3"/>
    <x v="2"/>
    <n v="46"/>
    <x v="0"/>
    <x v="0"/>
  </r>
  <r>
    <n v="21039"/>
    <x v="1"/>
    <x v="1"/>
    <n v="50000"/>
    <n v="0"/>
    <x v="3"/>
    <s v="Skilled Manual"/>
    <s v="No"/>
    <n v="0"/>
    <x v="3"/>
    <x v="2"/>
    <n v="37"/>
    <x v="0"/>
    <x v="0"/>
  </r>
  <r>
    <n v="21094"/>
    <x v="1"/>
    <x v="1"/>
    <n v="30000"/>
    <n v="2"/>
    <x v="2"/>
    <s v="Clerical"/>
    <s v="Yes"/>
    <n v="2"/>
    <x v="3"/>
    <x v="2"/>
    <n v="42"/>
    <x v="0"/>
    <x v="1"/>
  </r>
  <r>
    <n v="21108"/>
    <x v="0"/>
    <x v="1"/>
    <n v="40000"/>
    <n v="1"/>
    <x v="0"/>
    <s v="Skilled Manual"/>
    <s v="Yes"/>
    <n v="1"/>
    <x v="3"/>
    <x v="2"/>
    <n v="43"/>
    <x v="0"/>
    <x v="0"/>
  </r>
  <r>
    <n v="21184"/>
    <x v="1"/>
    <x v="0"/>
    <n v="70000"/>
    <n v="0"/>
    <x v="0"/>
    <s v="Professional"/>
    <s v="No"/>
    <n v="1"/>
    <x v="1"/>
    <x v="0"/>
    <n v="38"/>
    <x v="0"/>
    <x v="1"/>
  </r>
  <r>
    <n v="21207"/>
    <x v="0"/>
    <x v="0"/>
    <n v="60000"/>
    <n v="1"/>
    <x v="2"/>
    <s v="Skilled Manual"/>
    <s v="Yes"/>
    <n v="1"/>
    <x v="1"/>
    <x v="0"/>
    <n v="46"/>
    <x v="0"/>
    <x v="1"/>
  </r>
  <r>
    <n v="21213"/>
    <x v="1"/>
    <x v="0"/>
    <n v="70000"/>
    <n v="0"/>
    <x v="0"/>
    <s v="Professional"/>
    <s v="No"/>
    <n v="1"/>
    <x v="1"/>
    <x v="0"/>
    <n v="41"/>
    <x v="0"/>
    <x v="1"/>
  </r>
  <r>
    <n v="21260"/>
    <x v="1"/>
    <x v="1"/>
    <n v="40000"/>
    <n v="0"/>
    <x v="1"/>
    <s v="Skilled Manual"/>
    <s v="Yes"/>
    <n v="2"/>
    <x v="1"/>
    <x v="1"/>
    <n v="30"/>
    <x v="2"/>
    <x v="1"/>
  </r>
  <r>
    <n v="21266"/>
    <x v="1"/>
    <x v="1"/>
    <n v="80000"/>
    <n v="0"/>
    <x v="0"/>
    <s v="Management"/>
    <s v="Yes"/>
    <n v="1"/>
    <x v="0"/>
    <x v="1"/>
    <n v="34"/>
    <x v="0"/>
    <x v="0"/>
  </r>
  <r>
    <n v="21306"/>
    <x v="1"/>
    <x v="0"/>
    <n v="60000"/>
    <n v="2"/>
    <x v="1"/>
    <s v="Professional"/>
    <s v="Yes"/>
    <n v="2"/>
    <x v="1"/>
    <x v="1"/>
    <n v="51"/>
    <x v="0"/>
    <x v="1"/>
  </r>
  <r>
    <n v="21365"/>
    <x v="0"/>
    <x v="1"/>
    <n v="10000"/>
    <n v="2"/>
    <x v="4"/>
    <s v="Clerical"/>
    <s v="Yes"/>
    <n v="2"/>
    <x v="1"/>
    <x v="0"/>
    <n v="58"/>
    <x v="1"/>
    <x v="1"/>
  </r>
  <r>
    <n v="21375"/>
    <x v="1"/>
    <x v="0"/>
    <n v="20000"/>
    <n v="2"/>
    <x v="4"/>
    <s v="Clerical"/>
    <s v="Yes"/>
    <n v="2"/>
    <x v="1"/>
    <x v="0"/>
    <n v="57"/>
    <x v="1"/>
    <x v="1"/>
  </r>
  <r>
    <n v="21417"/>
    <x v="1"/>
    <x v="1"/>
    <n v="60000"/>
    <n v="0"/>
    <x v="2"/>
    <s v="Professional"/>
    <s v="No"/>
    <n v="2"/>
    <x v="0"/>
    <x v="1"/>
    <n v="32"/>
    <x v="0"/>
    <x v="0"/>
  </r>
  <r>
    <n v="21441"/>
    <x v="0"/>
    <x v="0"/>
    <n v="50000"/>
    <n v="4"/>
    <x v="0"/>
    <s v="Management"/>
    <s v="Yes"/>
    <n v="2"/>
    <x v="4"/>
    <x v="1"/>
    <n v="64"/>
    <x v="1"/>
    <x v="1"/>
  </r>
  <r>
    <n v="21451"/>
    <x v="0"/>
    <x v="1"/>
    <n v="40000"/>
    <n v="4"/>
    <x v="1"/>
    <s v="Professional"/>
    <s v="Yes"/>
    <n v="2"/>
    <x v="4"/>
    <x v="1"/>
    <n v="61"/>
    <x v="1"/>
    <x v="1"/>
  </r>
  <r>
    <n v="21471"/>
    <x v="0"/>
    <x v="0"/>
    <n v="70000"/>
    <n v="2"/>
    <x v="2"/>
    <s v="Professional"/>
    <s v="Yes"/>
    <n v="1"/>
    <x v="4"/>
    <x v="1"/>
    <n v="59"/>
    <x v="1"/>
    <x v="1"/>
  </r>
  <r>
    <n v="21554"/>
    <x v="1"/>
    <x v="1"/>
    <n v="80000"/>
    <n v="0"/>
    <x v="0"/>
    <s v="Professional"/>
    <s v="No"/>
    <n v="3"/>
    <x v="4"/>
    <x v="0"/>
    <n v="33"/>
    <x v="0"/>
    <x v="1"/>
  </r>
  <r>
    <n v="21557"/>
    <x v="1"/>
    <x v="1"/>
    <n v="110000"/>
    <n v="0"/>
    <x v="2"/>
    <s v="Management"/>
    <s v="Yes"/>
    <n v="3"/>
    <x v="4"/>
    <x v="0"/>
    <n v="32"/>
    <x v="0"/>
    <x v="0"/>
  </r>
  <r>
    <n v="21560"/>
    <x v="0"/>
    <x v="0"/>
    <n v="120000"/>
    <n v="0"/>
    <x v="4"/>
    <s v="Professional"/>
    <s v="Yes"/>
    <n v="4"/>
    <x v="4"/>
    <x v="0"/>
    <n v="32"/>
    <x v="0"/>
    <x v="0"/>
  </r>
  <r>
    <n v="21561"/>
    <x v="1"/>
    <x v="0"/>
    <n v="90000"/>
    <n v="0"/>
    <x v="0"/>
    <s v="Professional"/>
    <s v="No"/>
    <n v="3"/>
    <x v="4"/>
    <x v="0"/>
    <n v="34"/>
    <x v="0"/>
    <x v="0"/>
  </r>
  <r>
    <n v="21564"/>
    <x v="1"/>
    <x v="1"/>
    <n v="80000"/>
    <n v="0"/>
    <x v="0"/>
    <s v="Professional"/>
    <s v="Yes"/>
    <n v="4"/>
    <x v="4"/>
    <x v="0"/>
    <n v="35"/>
    <x v="0"/>
    <x v="1"/>
  </r>
  <r>
    <n v="21568"/>
    <x v="0"/>
    <x v="1"/>
    <n v="100000"/>
    <n v="0"/>
    <x v="1"/>
    <s v="Management"/>
    <s v="Yes"/>
    <n v="4"/>
    <x v="4"/>
    <x v="0"/>
    <n v="34"/>
    <x v="0"/>
    <x v="0"/>
  </r>
  <r>
    <n v="21583"/>
    <x v="0"/>
    <x v="1"/>
    <n v="50000"/>
    <n v="1"/>
    <x v="0"/>
    <s v="Skilled Manual"/>
    <s v="Yes"/>
    <n v="0"/>
    <x v="3"/>
    <x v="1"/>
    <n v="34"/>
    <x v="0"/>
    <x v="0"/>
  </r>
  <r>
    <n v="21587"/>
    <x v="0"/>
    <x v="1"/>
    <n v="60000"/>
    <n v="1"/>
    <x v="3"/>
    <s v="Skilled Manual"/>
    <s v="Yes"/>
    <n v="0"/>
    <x v="2"/>
    <x v="1"/>
    <n v="34"/>
    <x v="0"/>
    <x v="0"/>
  </r>
  <r>
    <n v="21599"/>
    <x v="0"/>
    <x v="1"/>
    <n v="60000"/>
    <n v="1"/>
    <x v="3"/>
    <s v="Professional"/>
    <s v="Yes"/>
    <n v="0"/>
    <x v="2"/>
    <x v="1"/>
    <n v="36"/>
    <x v="0"/>
    <x v="0"/>
  </r>
  <r>
    <n v="21613"/>
    <x v="1"/>
    <x v="0"/>
    <n v="50000"/>
    <n v="2"/>
    <x v="0"/>
    <s v="Skilled Manual"/>
    <s v="No"/>
    <n v="1"/>
    <x v="3"/>
    <x v="1"/>
    <n v="39"/>
    <x v="0"/>
    <x v="0"/>
  </r>
  <r>
    <n v="21660"/>
    <x v="0"/>
    <x v="1"/>
    <n v="60000"/>
    <n v="3"/>
    <x v="3"/>
    <s v="Professional"/>
    <s v="Yes"/>
    <n v="0"/>
    <x v="2"/>
    <x v="1"/>
    <n v="43"/>
    <x v="0"/>
    <x v="0"/>
  </r>
  <r>
    <n v="21693"/>
    <x v="1"/>
    <x v="1"/>
    <n v="60000"/>
    <n v="0"/>
    <x v="3"/>
    <s v="Skilled Manual"/>
    <s v="No"/>
    <n v="0"/>
    <x v="3"/>
    <x v="1"/>
    <n v="40"/>
    <x v="0"/>
    <x v="1"/>
  </r>
  <r>
    <n v="21695"/>
    <x v="0"/>
    <x v="0"/>
    <n v="60000"/>
    <n v="0"/>
    <x v="3"/>
    <s v="Skilled Manual"/>
    <s v="Yes"/>
    <n v="0"/>
    <x v="0"/>
    <x v="1"/>
    <n v="39"/>
    <x v="0"/>
    <x v="0"/>
  </r>
  <r>
    <n v="21713"/>
    <x v="1"/>
    <x v="0"/>
    <n v="80000"/>
    <n v="5"/>
    <x v="3"/>
    <s v="Skilled Manual"/>
    <s v="No"/>
    <n v="0"/>
    <x v="3"/>
    <x v="1"/>
    <n v="47"/>
    <x v="0"/>
    <x v="1"/>
  </r>
  <r>
    <n v="21714"/>
    <x v="1"/>
    <x v="1"/>
    <n v="80000"/>
    <n v="5"/>
    <x v="3"/>
    <s v="Skilled Manual"/>
    <s v="No"/>
    <n v="0"/>
    <x v="3"/>
    <x v="1"/>
    <n v="47"/>
    <x v="0"/>
    <x v="1"/>
  </r>
  <r>
    <n v="21717"/>
    <x v="0"/>
    <x v="0"/>
    <n v="40000"/>
    <n v="2"/>
    <x v="2"/>
    <s v="Clerical"/>
    <s v="Yes"/>
    <n v="1"/>
    <x v="3"/>
    <x v="1"/>
    <n v="47"/>
    <x v="0"/>
    <x v="1"/>
  </r>
  <r>
    <n v="21738"/>
    <x v="0"/>
    <x v="0"/>
    <n v="20000"/>
    <n v="1"/>
    <x v="3"/>
    <s v="Clerical"/>
    <s v="Yes"/>
    <n v="0"/>
    <x v="3"/>
    <x v="2"/>
    <n v="43"/>
    <x v="0"/>
    <x v="1"/>
  </r>
  <r>
    <n v="21741"/>
    <x v="0"/>
    <x v="1"/>
    <n v="70000"/>
    <n v="3"/>
    <x v="2"/>
    <s v="Professional"/>
    <s v="Yes"/>
    <n v="2"/>
    <x v="1"/>
    <x v="1"/>
    <n v="50"/>
    <x v="0"/>
    <x v="0"/>
  </r>
  <r>
    <n v="21751"/>
    <x v="0"/>
    <x v="0"/>
    <n v="60000"/>
    <n v="3"/>
    <x v="3"/>
    <s v="Management"/>
    <s v="Yes"/>
    <n v="2"/>
    <x v="0"/>
    <x v="1"/>
    <n v="63"/>
    <x v="1"/>
    <x v="1"/>
  </r>
  <r>
    <n v="21752"/>
    <x v="0"/>
    <x v="0"/>
    <n v="60000"/>
    <n v="3"/>
    <x v="3"/>
    <s v="Management"/>
    <s v="Yes"/>
    <n v="2"/>
    <x v="4"/>
    <x v="1"/>
    <n v="64"/>
    <x v="1"/>
    <x v="1"/>
  </r>
  <r>
    <n v="21770"/>
    <x v="0"/>
    <x v="0"/>
    <n v="60000"/>
    <n v="4"/>
    <x v="0"/>
    <s v="Management"/>
    <s v="Yes"/>
    <n v="2"/>
    <x v="4"/>
    <x v="1"/>
    <n v="60"/>
    <x v="1"/>
    <x v="1"/>
  </r>
  <r>
    <n v="21801"/>
    <x v="0"/>
    <x v="1"/>
    <n v="70000"/>
    <n v="4"/>
    <x v="2"/>
    <s v="Professional"/>
    <s v="Yes"/>
    <n v="1"/>
    <x v="0"/>
    <x v="1"/>
    <n v="55"/>
    <x v="1"/>
    <x v="1"/>
  </r>
  <r>
    <n v="21891"/>
    <x v="0"/>
    <x v="1"/>
    <n v="110000"/>
    <n v="0"/>
    <x v="1"/>
    <s v="Management"/>
    <s v="Yes"/>
    <n v="3"/>
    <x v="4"/>
    <x v="0"/>
    <n v="34"/>
    <x v="0"/>
    <x v="0"/>
  </r>
  <r>
    <n v="21940"/>
    <x v="0"/>
    <x v="0"/>
    <n v="90000"/>
    <n v="5"/>
    <x v="3"/>
    <s v="Professional"/>
    <s v="Yes"/>
    <n v="0"/>
    <x v="3"/>
    <x v="1"/>
    <n v="47"/>
    <x v="0"/>
    <x v="0"/>
  </r>
  <r>
    <n v="21974"/>
    <x v="1"/>
    <x v="1"/>
    <n v="70000"/>
    <n v="0"/>
    <x v="0"/>
    <s v="Professional"/>
    <s v="Yes"/>
    <n v="1"/>
    <x v="1"/>
    <x v="0"/>
    <n v="42"/>
    <x v="0"/>
    <x v="0"/>
  </r>
  <r>
    <n v="21980"/>
    <x v="1"/>
    <x v="1"/>
    <n v="60000"/>
    <n v="1"/>
    <x v="0"/>
    <s v="Professional"/>
    <s v="Yes"/>
    <n v="1"/>
    <x v="1"/>
    <x v="0"/>
    <n v="44"/>
    <x v="0"/>
    <x v="0"/>
  </r>
  <r>
    <n v="22005"/>
    <x v="0"/>
    <x v="1"/>
    <n v="70000"/>
    <n v="5"/>
    <x v="2"/>
    <s v="Skilled Manual"/>
    <s v="No"/>
    <n v="3"/>
    <x v="1"/>
    <x v="0"/>
    <n v="46"/>
    <x v="0"/>
    <x v="1"/>
  </r>
  <r>
    <n v="22006"/>
    <x v="0"/>
    <x v="0"/>
    <n v="70000"/>
    <n v="5"/>
    <x v="2"/>
    <s v="Skilled Manual"/>
    <s v="Yes"/>
    <n v="3"/>
    <x v="1"/>
    <x v="0"/>
    <n v="46"/>
    <x v="0"/>
    <x v="1"/>
  </r>
  <r>
    <n v="22010"/>
    <x v="1"/>
    <x v="0"/>
    <n v="40000"/>
    <n v="0"/>
    <x v="1"/>
    <s v="Skilled Manual"/>
    <s v="Yes"/>
    <n v="2"/>
    <x v="1"/>
    <x v="1"/>
    <n v="31"/>
    <x v="0"/>
    <x v="1"/>
  </r>
  <r>
    <n v="22014"/>
    <x v="1"/>
    <x v="0"/>
    <n v="30000"/>
    <n v="0"/>
    <x v="1"/>
    <s v="Skilled Manual"/>
    <s v="Yes"/>
    <n v="2"/>
    <x v="1"/>
    <x v="1"/>
    <n v="26"/>
    <x v="2"/>
    <x v="1"/>
  </r>
  <r>
    <n v="22042"/>
    <x v="0"/>
    <x v="1"/>
    <n v="70000"/>
    <n v="0"/>
    <x v="2"/>
    <s v="Skilled Manual"/>
    <s v="Yes"/>
    <n v="2"/>
    <x v="1"/>
    <x v="1"/>
    <n v="34"/>
    <x v="0"/>
    <x v="0"/>
  </r>
  <r>
    <n v="22046"/>
    <x v="1"/>
    <x v="1"/>
    <n v="80000"/>
    <n v="0"/>
    <x v="0"/>
    <s v="Management"/>
    <s v="No"/>
    <n v="1"/>
    <x v="3"/>
    <x v="1"/>
    <n v="38"/>
    <x v="0"/>
    <x v="0"/>
  </r>
  <r>
    <n v="22050"/>
    <x v="1"/>
    <x v="0"/>
    <n v="90000"/>
    <n v="4"/>
    <x v="0"/>
    <s v="Management"/>
    <s v="Yes"/>
    <n v="1"/>
    <x v="0"/>
    <x v="1"/>
    <n v="38"/>
    <x v="0"/>
    <x v="0"/>
  </r>
  <r>
    <n v="22088"/>
    <x v="0"/>
    <x v="1"/>
    <n v="130000"/>
    <n v="1"/>
    <x v="0"/>
    <s v="Management"/>
    <s v="Yes"/>
    <n v="2"/>
    <x v="3"/>
    <x v="1"/>
    <n v="45"/>
    <x v="0"/>
    <x v="0"/>
  </r>
  <r>
    <n v="22118"/>
    <x v="1"/>
    <x v="1"/>
    <n v="70000"/>
    <n v="3"/>
    <x v="3"/>
    <s v="Management"/>
    <s v="Yes"/>
    <n v="2"/>
    <x v="1"/>
    <x v="1"/>
    <n v="53"/>
    <x v="0"/>
    <x v="0"/>
  </r>
  <r>
    <n v="22127"/>
    <x v="0"/>
    <x v="0"/>
    <n v="60000"/>
    <n v="3"/>
    <x v="3"/>
    <s v="Management"/>
    <s v="Yes"/>
    <n v="2"/>
    <x v="0"/>
    <x v="1"/>
    <n v="67"/>
    <x v="1"/>
    <x v="1"/>
  </r>
  <r>
    <n v="22155"/>
    <x v="0"/>
    <x v="0"/>
    <n v="20000"/>
    <n v="2"/>
    <x v="4"/>
    <s v="Clerical"/>
    <s v="Yes"/>
    <n v="2"/>
    <x v="1"/>
    <x v="0"/>
    <n v="58"/>
    <x v="1"/>
    <x v="1"/>
  </r>
  <r>
    <n v="22170"/>
    <x v="0"/>
    <x v="1"/>
    <n v="30000"/>
    <n v="3"/>
    <x v="2"/>
    <s v="Clerical"/>
    <s v="No"/>
    <n v="2"/>
    <x v="0"/>
    <x v="0"/>
    <n v="55"/>
    <x v="1"/>
    <x v="0"/>
  </r>
  <r>
    <n v="22173"/>
    <x v="0"/>
    <x v="1"/>
    <n v="30000"/>
    <n v="3"/>
    <x v="1"/>
    <s v="Skilled Manual"/>
    <s v="No"/>
    <n v="2"/>
    <x v="0"/>
    <x v="0"/>
    <n v="54"/>
    <x v="1"/>
    <x v="0"/>
  </r>
  <r>
    <n v="22174"/>
    <x v="0"/>
    <x v="0"/>
    <n v="30000"/>
    <n v="3"/>
    <x v="1"/>
    <s v="Skilled Manual"/>
    <s v="Yes"/>
    <n v="2"/>
    <x v="1"/>
    <x v="0"/>
    <n v="54"/>
    <x v="1"/>
    <x v="0"/>
  </r>
  <r>
    <n v="22175"/>
    <x v="0"/>
    <x v="1"/>
    <n v="30000"/>
    <n v="3"/>
    <x v="1"/>
    <s v="Skilled Manual"/>
    <s v="Yes"/>
    <n v="2"/>
    <x v="1"/>
    <x v="0"/>
    <n v="53"/>
    <x v="0"/>
    <x v="0"/>
  </r>
  <r>
    <n v="22204"/>
    <x v="0"/>
    <x v="0"/>
    <n v="110000"/>
    <n v="4"/>
    <x v="0"/>
    <s v="Management"/>
    <s v="Yes"/>
    <n v="3"/>
    <x v="2"/>
    <x v="0"/>
    <n v="48"/>
    <x v="0"/>
    <x v="1"/>
  </r>
  <r>
    <n v="22211"/>
    <x v="0"/>
    <x v="0"/>
    <n v="60000"/>
    <n v="0"/>
    <x v="2"/>
    <s v="Professional"/>
    <s v="Yes"/>
    <n v="2"/>
    <x v="1"/>
    <x v="1"/>
    <n v="32"/>
    <x v="0"/>
    <x v="1"/>
  </r>
  <r>
    <n v="22219"/>
    <x v="0"/>
    <x v="1"/>
    <n v="60000"/>
    <n v="2"/>
    <x v="1"/>
    <s v="Professional"/>
    <s v="Yes"/>
    <n v="2"/>
    <x v="1"/>
    <x v="1"/>
    <n v="49"/>
    <x v="0"/>
    <x v="1"/>
  </r>
  <r>
    <n v="22220"/>
    <x v="0"/>
    <x v="0"/>
    <n v="60000"/>
    <n v="2"/>
    <x v="1"/>
    <s v="Professional"/>
    <s v="No"/>
    <n v="2"/>
    <x v="0"/>
    <x v="1"/>
    <n v="49"/>
    <x v="0"/>
    <x v="0"/>
  </r>
  <r>
    <n v="22221"/>
    <x v="0"/>
    <x v="0"/>
    <n v="60000"/>
    <n v="2"/>
    <x v="1"/>
    <s v="Professional"/>
    <s v="No"/>
    <n v="2"/>
    <x v="0"/>
    <x v="1"/>
    <n v="48"/>
    <x v="0"/>
    <x v="0"/>
  </r>
  <r>
    <n v="22227"/>
    <x v="0"/>
    <x v="1"/>
    <n v="60000"/>
    <n v="2"/>
    <x v="1"/>
    <s v="Professional"/>
    <s v="Yes"/>
    <n v="2"/>
    <x v="1"/>
    <x v="1"/>
    <n v="50"/>
    <x v="0"/>
    <x v="1"/>
  </r>
  <r>
    <n v="22252"/>
    <x v="1"/>
    <x v="1"/>
    <n v="60000"/>
    <n v="1"/>
    <x v="3"/>
    <s v="Professional"/>
    <s v="Yes"/>
    <n v="0"/>
    <x v="2"/>
    <x v="1"/>
    <n v="36"/>
    <x v="0"/>
    <x v="0"/>
  </r>
  <r>
    <n v="22294"/>
    <x v="1"/>
    <x v="1"/>
    <n v="70000"/>
    <n v="0"/>
    <x v="0"/>
    <s v="Professional"/>
    <s v="No"/>
    <n v="1"/>
    <x v="2"/>
    <x v="1"/>
    <n v="37"/>
    <x v="0"/>
    <x v="0"/>
  </r>
  <r>
    <n v="22296"/>
    <x v="0"/>
    <x v="0"/>
    <n v="70000"/>
    <n v="0"/>
    <x v="0"/>
    <s v="Professional"/>
    <s v="No"/>
    <n v="1"/>
    <x v="3"/>
    <x v="1"/>
    <n v="38"/>
    <x v="0"/>
    <x v="1"/>
  </r>
  <r>
    <n v="22330"/>
    <x v="0"/>
    <x v="0"/>
    <n v="50000"/>
    <n v="0"/>
    <x v="3"/>
    <s v="Skilled Manual"/>
    <s v="Yes"/>
    <n v="0"/>
    <x v="0"/>
    <x v="1"/>
    <n v="32"/>
    <x v="0"/>
    <x v="0"/>
  </r>
  <r>
    <n v="22381"/>
    <x v="0"/>
    <x v="0"/>
    <n v="10000"/>
    <n v="1"/>
    <x v="3"/>
    <s v="Manual"/>
    <s v="Yes"/>
    <n v="0"/>
    <x v="3"/>
    <x v="2"/>
    <n v="44"/>
    <x v="0"/>
    <x v="1"/>
  </r>
  <r>
    <n v="22399"/>
    <x v="1"/>
    <x v="0"/>
    <n v="10000"/>
    <n v="0"/>
    <x v="2"/>
    <s v="Manual"/>
    <s v="Yes"/>
    <n v="1"/>
    <x v="0"/>
    <x v="0"/>
    <n v="26"/>
    <x v="2"/>
    <x v="0"/>
  </r>
  <r>
    <n v="22400"/>
    <x v="0"/>
    <x v="0"/>
    <n v="10000"/>
    <n v="0"/>
    <x v="2"/>
    <s v="Manual"/>
    <s v="No"/>
    <n v="1"/>
    <x v="3"/>
    <x v="0"/>
    <n v="26"/>
    <x v="2"/>
    <x v="0"/>
  </r>
  <r>
    <n v="22402"/>
    <x v="0"/>
    <x v="0"/>
    <n v="10000"/>
    <n v="0"/>
    <x v="2"/>
    <s v="Manual"/>
    <s v="Yes"/>
    <n v="1"/>
    <x v="2"/>
    <x v="0"/>
    <n v="25"/>
    <x v="2"/>
    <x v="0"/>
  </r>
  <r>
    <n v="22439"/>
    <x v="0"/>
    <x v="1"/>
    <n v="30000"/>
    <n v="0"/>
    <x v="0"/>
    <s v="Clerical"/>
    <s v="Yes"/>
    <n v="0"/>
    <x v="3"/>
    <x v="2"/>
    <n v="37"/>
    <x v="0"/>
    <x v="0"/>
  </r>
  <r>
    <n v="22464"/>
    <x v="0"/>
    <x v="0"/>
    <n v="40000"/>
    <n v="0"/>
    <x v="3"/>
    <s v="Clerical"/>
    <s v="Yes"/>
    <n v="0"/>
    <x v="3"/>
    <x v="2"/>
    <n v="37"/>
    <x v="0"/>
    <x v="0"/>
  </r>
  <r>
    <n v="22496"/>
    <x v="0"/>
    <x v="1"/>
    <n v="30000"/>
    <n v="1"/>
    <x v="0"/>
    <s v="Skilled Manual"/>
    <s v="Yes"/>
    <n v="2"/>
    <x v="3"/>
    <x v="2"/>
    <n v="42"/>
    <x v="0"/>
    <x v="1"/>
  </r>
  <r>
    <n v="22500"/>
    <x v="1"/>
    <x v="0"/>
    <n v="40000"/>
    <n v="0"/>
    <x v="0"/>
    <s v="Professional"/>
    <s v="No"/>
    <n v="0"/>
    <x v="3"/>
    <x v="2"/>
    <n v="40"/>
    <x v="0"/>
    <x v="0"/>
  </r>
  <r>
    <n v="22518"/>
    <x v="1"/>
    <x v="1"/>
    <n v="30000"/>
    <n v="3"/>
    <x v="2"/>
    <s v="Clerical"/>
    <s v="No"/>
    <n v="2"/>
    <x v="3"/>
    <x v="2"/>
    <n v="27"/>
    <x v="2"/>
    <x v="0"/>
  </r>
  <r>
    <n v="22527"/>
    <x v="1"/>
    <x v="1"/>
    <n v="20000"/>
    <n v="0"/>
    <x v="1"/>
    <s v="Manual"/>
    <s v="No"/>
    <n v="1"/>
    <x v="2"/>
    <x v="2"/>
    <n v="29"/>
    <x v="2"/>
    <x v="1"/>
  </r>
  <r>
    <n v="22538"/>
    <x v="1"/>
    <x v="1"/>
    <n v="10000"/>
    <n v="0"/>
    <x v="4"/>
    <s v="Manual"/>
    <s v="Yes"/>
    <n v="2"/>
    <x v="0"/>
    <x v="2"/>
    <n v="33"/>
    <x v="0"/>
    <x v="1"/>
  </r>
  <r>
    <n v="22610"/>
    <x v="0"/>
    <x v="0"/>
    <n v="30000"/>
    <n v="0"/>
    <x v="0"/>
    <s v="Clerical"/>
    <s v="Yes"/>
    <n v="0"/>
    <x v="3"/>
    <x v="2"/>
    <n v="35"/>
    <x v="0"/>
    <x v="0"/>
  </r>
  <r>
    <n v="22633"/>
    <x v="1"/>
    <x v="1"/>
    <n v="40000"/>
    <n v="0"/>
    <x v="3"/>
    <s v="Clerical"/>
    <s v="Yes"/>
    <n v="0"/>
    <x v="3"/>
    <x v="2"/>
    <n v="37"/>
    <x v="0"/>
    <x v="0"/>
  </r>
  <r>
    <n v="22634"/>
    <x v="1"/>
    <x v="1"/>
    <n v="40000"/>
    <n v="0"/>
    <x v="3"/>
    <s v="Clerical"/>
    <s v="Yes"/>
    <n v="0"/>
    <x v="3"/>
    <x v="2"/>
    <n v="38"/>
    <x v="0"/>
    <x v="0"/>
  </r>
  <r>
    <n v="22636"/>
    <x v="1"/>
    <x v="1"/>
    <n v="40000"/>
    <n v="0"/>
    <x v="0"/>
    <s v="Clerical"/>
    <s v="No"/>
    <n v="0"/>
    <x v="3"/>
    <x v="2"/>
    <n v="38"/>
    <x v="0"/>
    <x v="0"/>
  </r>
  <r>
    <n v="22672"/>
    <x v="1"/>
    <x v="1"/>
    <n v="30000"/>
    <n v="2"/>
    <x v="2"/>
    <s v="Clerical"/>
    <s v="Yes"/>
    <n v="0"/>
    <x v="3"/>
    <x v="2"/>
    <n v="43"/>
    <x v="0"/>
    <x v="1"/>
  </r>
  <r>
    <n v="22707"/>
    <x v="1"/>
    <x v="1"/>
    <n v="30000"/>
    <n v="0"/>
    <x v="2"/>
    <s v="Clerical"/>
    <s v="No"/>
    <n v="1"/>
    <x v="2"/>
    <x v="2"/>
    <n v="30"/>
    <x v="2"/>
    <x v="1"/>
  </r>
  <r>
    <n v="22719"/>
    <x v="1"/>
    <x v="0"/>
    <n v="110000"/>
    <n v="3"/>
    <x v="0"/>
    <s v="Management"/>
    <s v="Yes"/>
    <n v="4"/>
    <x v="2"/>
    <x v="1"/>
    <n v="40"/>
    <x v="0"/>
    <x v="0"/>
  </r>
  <r>
    <n v="22730"/>
    <x v="0"/>
    <x v="0"/>
    <n v="70000"/>
    <n v="5"/>
    <x v="0"/>
    <s v="Management"/>
    <s v="Yes"/>
    <n v="2"/>
    <x v="4"/>
    <x v="1"/>
    <n v="63"/>
    <x v="1"/>
    <x v="1"/>
  </r>
  <r>
    <n v="22743"/>
    <x v="0"/>
    <x v="1"/>
    <n v="40000"/>
    <n v="5"/>
    <x v="1"/>
    <s v="Professional"/>
    <s v="Yes"/>
    <n v="2"/>
    <x v="4"/>
    <x v="1"/>
    <n v="60"/>
    <x v="1"/>
    <x v="1"/>
  </r>
  <r>
    <n v="22821"/>
    <x v="0"/>
    <x v="1"/>
    <n v="130000"/>
    <n v="3"/>
    <x v="2"/>
    <s v="Professional"/>
    <s v="Yes"/>
    <n v="4"/>
    <x v="3"/>
    <x v="2"/>
    <n v="52"/>
    <x v="0"/>
    <x v="1"/>
  </r>
  <r>
    <n v="22830"/>
    <x v="0"/>
    <x v="0"/>
    <n v="120000"/>
    <n v="4"/>
    <x v="2"/>
    <s v="Management"/>
    <s v="Yes"/>
    <n v="3"/>
    <x v="4"/>
    <x v="2"/>
    <n v="56"/>
    <x v="1"/>
    <x v="1"/>
  </r>
  <r>
    <n v="22864"/>
    <x v="0"/>
    <x v="0"/>
    <n v="90000"/>
    <n v="2"/>
    <x v="2"/>
    <s v="Professional"/>
    <s v="No"/>
    <n v="0"/>
    <x v="1"/>
    <x v="1"/>
    <n v="49"/>
    <x v="0"/>
    <x v="0"/>
  </r>
  <r>
    <n v="22918"/>
    <x v="1"/>
    <x v="0"/>
    <n v="80000"/>
    <n v="5"/>
    <x v="3"/>
    <s v="Management"/>
    <s v="Yes"/>
    <n v="3"/>
    <x v="3"/>
    <x v="0"/>
    <n v="50"/>
    <x v="0"/>
    <x v="1"/>
  </r>
  <r>
    <n v="22930"/>
    <x v="0"/>
    <x v="0"/>
    <n v="90000"/>
    <n v="4"/>
    <x v="0"/>
    <s v="Professional"/>
    <s v="Yes"/>
    <n v="0"/>
    <x v="0"/>
    <x v="0"/>
    <n v="38"/>
    <x v="0"/>
    <x v="0"/>
  </r>
  <r>
    <n v="22931"/>
    <x v="0"/>
    <x v="0"/>
    <n v="100000"/>
    <n v="5"/>
    <x v="3"/>
    <s v="Management"/>
    <s v="No"/>
    <n v="1"/>
    <x v="0"/>
    <x v="0"/>
    <n v="78"/>
    <x v="1"/>
    <x v="0"/>
  </r>
  <r>
    <n v="22936"/>
    <x v="1"/>
    <x v="1"/>
    <n v="60000"/>
    <n v="1"/>
    <x v="2"/>
    <s v="Skilled Manual"/>
    <s v="No"/>
    <n v="1"/>
    <x v="3"/>
    <x v="0"/>
    <n v="45"/>
    <x v="0"/>
    <x v="0"/>
  </r>
  <r>
    <n v="22971"/>
    <x v="1"/>
    <x v="1"/>
    <n v="30000"/>
    <n v="0"/>
    <x v="1"/>
    <s v="Skilled Manual"/>
    <s v="No"/>
    <n v="2"/>
    <x v="3"/>
    <x v="1"/>
    <n v="25"/>
    <x v="2"/>
    <x v="0"/>
  </r>
  <r>
    <n v="22974"/>
    <x v="0"/>
    <x v="1"/>
    <n v="30000"/>
    <n v="2"/>
    <x v="2"/>
    <s v="Clerical"/>
    <s v="Yes"/>
    <n v="2"/>
    <x v="1"/>
    <x v="0"/>
    <n v="69"/>
    <x v="1"/>
    <x v="1"/>
  </r>
  <r>
    <n v="22976"/>
    <x v="1"/>
    <x v="0"/>
    <n v="40000"/>
    <n v="0"/>
    <x v="1"/>
    <s v="Skilled Manual"/>
    <s v="No"/>
    <n v="2"/>
    <x v="3"/>
    <x v="1"/>
    <n v="28"/>
    <x v="2"/>
    <x v="0"/>
  </r>
  <r>
    <n v="22983"/>
    <x v="1"/>
    <x v="1"/>
    <n v="30000"/>
    <n v="0"/>
    <x v="4"/>
    <s v="Clerical"/>
    <s v="Yes"/>
    <n v="2"/>
    <x v="1"/>
    <x v="1"/>
    <n v="27"/>
    <x v="2"/>
    <x v="1"/>
  </r>
  <r>
    <n v="22988"/>
    <x v="0"/>
    <x v="1"/>
    <n v="40000"/>
    <n v="2"/>
    <x v="0"/>
    <s v="Management"/>
    <s v="Yes"/>
    <n v="2"/>
    <x v="1"/>
    <x v="0"/>
    <n v="66"/>
    <x v="1"/>
    <x v="0"/>
  </r>
  <r>
    <n v="22994"/>
    <x v="0"/>
    <x v="1"/>
    <n v="80000"/>
    <n v="0"/>
    <x v="0"/>
    <s v="Management"/>
    <s v="Yes"/>
    <n v="1"/>
    <x v="0"/>
    <x v="1"/>
    <n v="34"/>
    <x v="0"/>
    <x v="0"/>
  </r>
  <r>
    <n v="23027"/>
    <x v="1"/>
    <x v="0"/>
    <n v="130000"/>
    <n v="1"/>
    <x v="0"/>
    <s v="Management"/>
    <s v="No"/>
    <n v="4"/>
    <x v="3"/>
    <x v="1"/>
    <n v="44"/>
    <x v="0"/>
    <x v="1"/>
  </r>
  <r>
    <n v="23041"/>
    <x v="1"/>
    <x v="1"/>
    <n v="70000"/>
    <n v="4"/>
    <x v="1"/>
    <s v="Professional"/>
    <s v="Yes"/>
    <n v="0"/>
    <x v="1"/>
    <x v="1"/>
    <n v="50"/>
    <x v="0"/>
    <x v="0"/>
  </r>
  <r>
    <n v="23089"/>
    <x v="0"/>
    <x v="0"/>
    <n v="40000"/>
    <n v="0"/>
    <x v="2"/>
    <s v="Skilled Manual"/>
    <s v="Yes"/>
    <n v="1"/>
    <x v="1"/>
    <x v="1"/>
    <n v="28"/>
    <x v="2"/>
    <x v="1"/>
  </r>
  <r>
    <n v="23105"/>
    <x v="1"/>
    <x v="0"/>
    <n v="40000"/>
    <n v="3"/>
    <x v="4"/>
    <s v="Clerical"/>
    <s v="No"/>
    <n v="2"/>
    <x v="1"/>
    <x v="0"/>
    <n v="52"/>
    <x v="0"/>
    <x v="0"/>
  </r>
  <r>
    <n v="23144"/>
    <x v="0"/>
    <x v="0"/>
    <n v="50000"/>
    <n v="1"/>
    <x v="0"/>
    <s v="Skilled Manual"/>
    <s v="Yes"/>
    <n v="0"/>
    <x v="3"/>
    <x v="1"/>
    <n v="34"/>
    <x v="0"/>
    <x v="0"/>
  </r>
  <r>
    <n v="23158"/>
    <x v="0"/>
    <x v="1"/>
    <n v="60000"/>
    <n v="1"/>
    <x v="3"/>
    <s v="Professional"/>
    <s v="No"/>
    <n v="0"/>
    <x v="3"/>
    <x v="1"/>
    <n v="35"/>
    <x v="0"/>
    <x v="0"/>
  </r>
  <r>
    <n v="23195"/>
    <x v="1"/>
    <x v="0"/>
    <n v="50000"/>
    <n v="3"/>
    <x v="0"/>
    <s v="Skilled Manual"/>
    <s v="Yes"/>
    <n v="2"/>
    <x v="2"/>
    <x v="1"/>
    <n v="41"/>
    <x v="0"/>
    <x v="0"/>
  </r>
  <r>
    <n v="23197"/>
    <x v="0"/>
    <x v="0"/>
    <n v="50000"/>
    <n v="3"/>
    <x v="0"/>
    <s v="Skilled Manual"/>
    <s v="Yes"/>
    <n v="2"/>
    <x v="2"/>
    <x v="1"/>
    <n v="40"/>
    <x v="0"/>
    <x v="1"/>
  </r>
  <r>
    <n v="23200"/>
    <x v="0"/>
    <x v="1"/>
    <n v="50000"/>
    <n v="3"/>
    <x v="0"/>
    <s v="Skilled Manual"/>
    <s v="Yes"/>
    <n v="2"/>
    <x v="3"/>
    <x v="1"/>
    <n v="41"/>
    <x v="0"/>
    <x v="1"/>
  </r>
  <r>
    <n v="23217"/>
    <x v="1"/>
    <x v="1"/>
    <n v="60000"/>
    <n v="3"/>
    <x v="3"/>
    <s v="Professional"/>
    <s v="Yes"/>
    <n v="0"/>
    <x v="2"/>
    <x v="1"/>
    <n v="43"/>
    <x v="0"/>
    <x v="0"/>
  </r>
  <r>
    <n v="23248"/>
    <x v="0"/>
    <x v="1"/>
    <n v="10000"/>
    <n v="2"/>
    <x v="1"/>
    <s v="Manual"/>
    <s v="Yes"/>
    <n v="2"/>
    <x v="0"/>
    <x v="1"/>
    <n v="53"/>
    <x v="0"/>
    <x v="1"/>
  </r>
  <r>
    <n v="23256"/>
    <x v="1"/>
    <x v="0"/>
    <n v="30000"/>
    <n v="1"/>
    <x v="1"/>
    <s v="Clerical"/>
    <s v="No"/>
    <n v="1"/>
    <x v="1"/>
    <x v="1"/>
    <n v="52"/>
    <x v="0"/>
    <x v="1"/>
  </r>
  <r>
    <n v="23275"/>
    <x v="0"/>
    <x v="0"/>
    <n v="30000"/>
    <n v="2"/>
    <x v="1"/>
    <s v="Skilled Manual"/>
    <s v="Yes"/>
    <n v="2"/>
    <x v="0"/>
    <x v="1"/>
    <n v="49"/>
    <x v="0"/>
    <x v="1"/>
  </r>
  <r>
    <n v="23316"/>
    <x v="1"/>
    <x v="0"/>
    <n v="30000"/>
    <n v="3"/>
    <x v="2"/>
    <s v="Clerical"/>
    <s v="No"/>
    <n v="2"/>
    <x v="0"/>
    <x v="0"/>
    <n v="59"/>
    <x v="1"/>
    <x v="0"/>
  </r>
  <r>
    <n v="23333"/>
    <x v="0"/>
    <x v="0"/>
    <n v="40000"/>
    <n v="0"/>
    <x v="2"/>
    <s v="Skilled Manual"/>
    <s v="No"/>
    <n v="2"/>
    <x v="0"/>
    <x v="1"/>
    <n v="30"/>
    <x v="2"/>
    <x v="1"/>
  </r>
  <r>
    <n v="23358"/>
    <x v="0"/>
    <x v="0"/>
    <n v="60000"/>
    <n v="0"/>
    <x v="1"/>
    <s v="Professional"/>
    <s v="Yes"/>
    <n v="2"/>
    <x v="1"/>
    <x v="1"/>
    <n v="32"/>
    <x v="0"/>
    <x v="0"/>
  </r>
  <r>
    <n v="23368"/>
    <x v="0"/>
    <x v="1"/>
    <n v="60000"/>
    <n v="5"/>
    <x v="0"/>
    <s v="Skilled Manual"/>
    <s v="Yes"/>
    <n v="3"/>
    <x v="4"/>
    <x v="1"/>
    <n v="41"/>
    <x v="0"/>
    <x v="1"/>
  </r>
  <r>
    <n v="23376"/>
    <x v="0"/>
    <x v="0"/>
    <n v="70000"/>
    <n v="1"/>
    <x v="0"/>
    <s v="Professional"/>
    <s v="Yes"/>
    <n v="1"/>
    <x v="2"/>
    <x v="1"/>
    <n v="44"/>
    <x v="0"/>
    <x v="0"/>
  </r>
  <r>
    <n v="23378"/>
    <x v="0"/>
    <x v="0"/>
    <n v="70000"/>
    <n v="1"/>
    <x v="2"/>
    <s v="Skilled Manual"/>
    <s v="Yes"/>
    <n v="1"/>
    <x v="2"/>
    <x v="1"/>
    <n v="44"/>
    <x v="0"/>
    <x v="0"/>
  </r>
  <r>
    <n v="23419"/>
    <x v="1"/>
    <x v="1"/>
    <n v="70000"/>
    <n v="5"/>
    <x v="0"/>
    <s v="Professional"/>
    <s v="Yes"/>
    <n v="3"/>
    <x v="4"/>
    <x v="0"/>
    <n v="39"/>
    <x v="0"/>
    <x v="1"/>
  </r>
  <r>
    <n v="23426"/>
    <x v="1"/>
    <x v="0"/>
    <n v="80000"/>
    <n v="5"/>
    <x v="3"/>
    <s v="Management"/>
    <s v="Yes"/>
    <n v="3"/>
    <x v="3"/>
    <x v="0"/>
    <n v="40"/>
    <x v="0"/>
    <x v="1"/>
  </r>
  <r>
    <n v="23432"/>
    <x v="1"/>
    <x v="0"/>
    <n v="70000"/>
    <n v="0"/>
    <x v="0"/>
    <s v="Professional"/>
    <s v="Yes"/>
    <n v="1"/>
    <x v="1"/>
    <x v="0"/>
    <n v="37"/>
    <x v="0"/>
    <x v="0"/>
  </r>
  <r>
    <n v="23449"/>
    <x v="0"/>
    <x v="0"/>
    <n v="60000"/>
    <n v="2"/>
    <x v="1"/>
    <s v="Professional"/>
    <s v="Yes"/>
    <n v="2"/>
    <x v="1"/>
    <x v="1"/>
    <n v="48"/>
    <x v="0"/>
    <x v="1"/>
  </r>
  <r>
    <n v="23455"/>
    <x v="1"/>
    <x v="0"/>
    <n v="80000"/>
    <n v="2"/>
    <x v="4"/>
    <s v="Skilled Manual"/>
    <s v="No"/>
    <n v="2"/>
    <x v="0"/>
    <x v="1"/>
    <n v="50"/>
    <x v="0"/>
    <x v="1"/>
  </r>
  <r>
    <n v="23459"/>
    <x v="0"/>
    <x v="0"/>
    <n v="60000"/>
    <n v="2"/>
    <x v="1"/>
    <s v="Professional"/>
    <s v="Yes"/>
    <n v="2"/>
    <x v="1"/>
    <x v="1"/>
    <n v="50"/>
    <x v="0"/>
    <x v="1"/>
  </r>
  <r>
    <n v="23461"/>
    <x v="0"/>
    <x v="1"/>
    <n v="90000"/>
    <n v="5"/>
    <x v="2"/>
    <s v="Professional"/>
    <s v="Yes"/>
    <n v="3"/>
    <x v="2"/>
    <x v="1"/>
    <n v="40"/>
    <x v="0"/>
    <x v="1"/>
  </r>
  <r>
    <n v="23479"/>
    <x v="1"/>
    <x v="0"/>
    <n v="90000"/>
    <n v="0"/>
    <x v="2"/>
    <s v="Professional"/>
    <s v="No"/>
    <n v="2"/>
    <x v="3"/>
    <x v="1"/>
    <n v="43"/>
    <x v="0"/>
    <x v="0"/>
  </r>
  <r>
    <n v="23491"/>
    <x v="1"/>
    <x v="0"/>
    <n v="100000"/>
    <n v="0"/>
    <x v="2"/>
    <s v="Professional"/>
    <s v="No"/>
    <n v="4"/>
    <x v="0"/>
    <x v="1"/>
    <n v="45"/>
    <x v="0"/>
    <x v="1"/>
  </r>
  <r>
    <n v="23513"/>
    <x v="0"/>
    <x v="1"/>
    <n v="40000"/>
    <n v="3"/>
    <x v="2"/>
    <s v="Professional"/>
    <s v="Yes"/>
    <n v="2"/>
    <x v="1"/>
    <x v="1"/>
    <n v="54"/>
    <x v="1"/>
    <x v="1"/>
  </r>
  <r>
    <n v="23542"/>
    <x v="1"/>
    <x v="0"/>
    <n v="60000"/>
    <n v="1"/>
    <x v="2"/>
    <s v="Skilled Manual"/>
    <s v="No"/>
    <n v="1"/>
    <x v="3"/>
    <x v="0"/>
    <n v="45"/>
    <x v="0"/>
    <x v="0"/>
  </r>
  <r>
    <n v="23549"/>
    <x v="1"/>
    <x v="0"/>
    <n v="30000"/>
    <n v="0"/>
    <x v="1"/>
    <s v="Skilled Manual"/>
    <s v="Yes"/>
    <n v="2"/>
    <x v="1"/>
    <x v="1"/>
    <n v="30"/>
    <x v="2"/>
    <x v="1"/>
  </r>
  <r>
    <n v="23571"/>
    <x v="0"/>
    <x v="1"/>
    <n v="40000"/>
    <n v="2"/>
    <x v="0"/>
    <s v="Management"/>
    <s v="Yes"/>
    <n v="2"/>
    <x v="3"/>
    <x v="0"/>
    <n v="66"/>
    <x v="1"/>
    <x v="0"/>
  </r>
  <r>
    <n v="23586"/>
    <x v="0"/>
    <x v="1"/>
    <n v="80000"/>
    <n v="0"/>
    <x v="0"/>
    <s v="Management"/>
    <s v="Yes"/>
    <n v="1"/>
    <x v="0"/>
    <x v="1"/>
    <n v="34"/>
    <x v="0"/>
    <x v="0"/>
  </r>
  <r>
    <n v="23608"/>
    <x v="0"/>
    <x v="1"/>
    <n v="150000"/>
    <n v="3"/>
    <x v="1"/>
    <s v="Professional"/>
    <s v="Yes"/>
    <n v="3"/>
    <x v="3"/>
    <x v="2"/>
    <n v="51"/>
    <x v="0"/>
    <x v="0"/>
  </r>
  <r>
    <n v="23627"/>
    <x v="1"/>
    <x v="1"/>
    <n v="100000"/>
    <n v="3"/>
    <x v="2"/>
    <s v="Management"/>
    <s v="No"/>
    <n v="4"/>
    <x v="1"/>
    <x v="2"/>
    <n v="56"/>
    <x v="1"/>
    <x v="1"/>
  </r>
  <r>
    <n v="23668"/>
    <x v="0"/>
    <x v="1"/>
    <n v="40000"/>
    <n v="4"/>
    <x v="1"/>
    <s v="Professional"/>
    <s v="Yes"/>
    <n v="2"/>
    <x v="1"/>
    <x v="1"/>
    <n v="59"/>
    <x v="1"/>
    <x v="0"/>
  </r>
  <r>
    <n v="23672"/>
    <x v="0"/>
    <x v="1"/>
    <n v="60000"/>
    <n v="3"/>
    <x v="3"/>
    <s v="Management"/>
    <s v="Yes"/>
    <n v="2"/>
    <x v="0"/>
    <x v="1"/>
    <n v="67"/>
    <x v="1"/>
    <x v="1"/>
  </r>
  <r>
    <n v="23704"/>
    <x v="1"/>
    <x v="0"/>
    <n v="40000"/>
    <n v="5"/>
    <x v="1"/>
    <s v="Professional"/>
    <s v="Yes"/>
    <n v="4"/>
    <x v="4"/>
    <x v="1"/>
    <n v="60"/>
    <x v="1"/>
    <x v="0"/>
  </r>
  <r>
    <n v="23707"/>
    <x v="1"/>
    <x v="0"/>
    <n v="70000"/>
    <n v="5"/>
    <x v="0"/>
    <s v="Management"/>
    <s v="Yes"/>
    <n v="3"/>
    <x v="4"/>
    <x v="1"/>
    <n v="60"/>
    <x v="1"/>
    <x v="0"/>
  </r>
  <r>
    <n v="23712"/>
    <x v="1"/>
    <x v="1"/>
    <n v="70000"/>
    <n v="2"/>
    <x v="0"/>
    <s v="Management"/>
    <s v="Yes"/>
    <n v="1"/>
    <x v="4"/>
    <x v="1"/>
    <n v="59"/>
    <x v="1"/>
    <x v="1"/>
  </r>
  <r>
    <n v="23731"/>
    <x v="0"/>
    <x v="0"/>
    <n v="60000"/>
    <n v="2"/>
    <x v="1"/>
    <s v="Professional"/>
    <s v="Yes"/>
    <n v="2"/>
    <x v="2"/>
    <x v="1"/>
    <n v="54"/>
    <x v="1"/>
    <x v="0"/>
  </r>
  <r>
    <n v="23780"/>
    <x v="1"/>
    <x v="0"/>
    <n v="40000"/>
    <n v="2"/>
    <x v="2"/>
    <s v="Clerical"/>
    <s v="No"/>
    <n v="2"/>
    <x v="3"/>
    <x v="2"/>
    <n v="36"/>
    <x v="0"/>
    <x v="0"/>
  </r>
  <r>
    <n v="23797"/>
    <x v="1"/>
    <x v="0"/>
    <n v="20000"/>
    <n v="3"/>
    <x v="4"/>
    <s v="Clerical"/>
    <s v="No"/>
    <n v="2"/>
    <x v="3"/>
    <x v="1"/>
    <n v="50"/>
    <x v="0"/>
    <x v="1"/>
  </r>
  <r>
    <n v="23801"/>
    <x v="0"/>
    <x v="1"/>
    <n v="20000"/>
    <n v="2"/>
    <x v="4"/>
    <s v="Clerical"/>
    <s v="Yes"/>
    <n v="2"/>
    <x v="3"/>
    <x v="1"/>
    <n v="49"/>
    <x v="0"/>
    <x v="1"/>
  </r>
  <r>
    <n v="23818"/>
    <x v="0"/>
    <x v="1"/>
    <n v="50000"/>
    <n v="0"/>
    <x v="3"/>
    <s v="Skilled Manual"/>
    <s v="Yes"/>
    <n v="0"/>
    <x v="0"/>
    <x v="1"/>
    <n v="33"/>
    <x v="0"/>
    <x v="0"/>
  </r>
  <r>
    <n v="23882"/>
    <x v="1"/>
    <x v="1"/>
    <n v="80000"/>
    <n v="3"/>
    <x v="3"/>
    <s v="Professional"/>
    <s v="Yes"/>
    <n v="0"/>
    <x v="3"/>
    <x v="1"/>
    <n v="37"/>
    <x v="0"/>
    <x v="0"/>
  </r>
  <r>
    <n v="23893"/>
    <x v="0"/>
    <x v="0"/>
    <n v="50000"/>
    <n v="3"/>
    <x v="0"/>
    <s v="Skilled Manual"/>
    <s v="Yes"/>
    <n v="3"/>
    <x v="4"/>
    <x v="1"/>
    <n v="41"/>
    <x v="0"/>
    <x v="1"/>
  </r>
  <r>
    <n v="23908"/>
    <x v="1"/>
    <x v="0"/>
    <n v="30000"/>
    <n v="1"/>
    <x v="0"/>
    <s v="Clerical"/>
    <s v="No"/>
    <n v="1"/>
    <x v="3"/>
    <x v="2"/>
    <n v="39"/>
    <x v="0"/>
    <x v="0"/>
  </r>
  <r>
    <n v="23915"/>
    <x v="0"/>
    <x v="0"/>
    <n v="20000"/>
    <n v="2"/>
    <x v="1"/>
    <s v="Manual"/>
    <s v="Yes"/>
    <n v="2"/>
    <x v="3"/>
    <x v="2"/>
    <n v="42"/>
    <x v="0"/>
    <x v="1"/>
  </r>
  <r>
    <n v="23940"/>
    <x v="0"/>
    <x v="0"/>
    <n v="40000"/>
    <n v="1"/>
    <x v="0"/>
    <s v="Skilled Manual"/>
    <s v="Yes"/>
    <n v="1"/>
    <x v="3"/>
    <x v="2"/>
    <n v="44"/>
    <x v="0"/>
    <x v="0"/>
  </r>
  <r>
    <n v="23962"/>
    <x v="0"/>
    <x v="1"/>
    <n v="10000"/>
    <n v="0"/>
    <x v="4"/>
    <s v="Manual"/>
    <s v="Yes"/>
    <n v="2"/>
    <x v="0"/>
    <x v="2"/>
    <n v="32"/>
    <x v="0"/>
    <x v="1"/>
  </r>
  <r>
    <n v="23963"/>
    <x v="0"/>
    <x v="0"/>
    <n v="10000"/>
    <n v="0"/>
    <x v="4"/>
    <s v="Manual"/>
    <s v="No"/>
    <n v="2"/>
    <x v="3"/>
    <x v="2"/>
    <n v="33"/>
    <x v="0"/>
    <x v="1"/>
  </r>
  <r>
    <n v="23979"/>
    <x v="1"/>
    <x v="0"/>
    <n v="10000"/>
    <n v="2"/>
    <x v="2"/>
    <s v="Manual"/>
    <s v="No"/>
    <n v="0"/>
    <x v="3"/>
    <x v="2"/>
    <n v="50"/>
    <x v="0"/>
    <x v="1"/>
  </r>
  <r>
    <n v="23986"/>
    <x v="0"/>
    <x v="1"/>
    <n v="20000"/>
    <n v="1"/>
    <x v="0"/>
    <s v="Clerical"/>
    <s v="Yes"/>
    <n v="0"/>
    <x v="3"/>
    <x v="2"/>
    <n v="66"/>
    <x v="1"/>
    <x v="0"/>
  </r>
  <r>
    <n v="23993"/>
    <x v="1"/>
    <x v="1"/>
    <n v="10000"/>
    <n v="0"/>
    <x v="2"/>
    <s v="Manual"/>
    <s v="No"/>
    <n v="1"/>
    <x v="3"/>
    <x v="0"/>
    <n v="26"/>
    <x v="2"/>
    <x v="0"/>
  </r>
  <r>
    <n v="24061"/>
    <x v="0"/>
    <x v="0"/>
    <n v="10000"/>
    <n v="4"/>
    <x v="4"/>
    <s v="Manual"/>
    <s v="Yes"/>
    <n v="1"/>
    <x v="3"/>
    <x v="2"/>
    <n v="40"/>
    <x v="0"/>
    <x v="0"/>
  </r>
  <r>
    <n v="24065"/>
    <x v="1"/>
    <x v="1"/>
    <n v="20000"/>
    <n v="0"/>
    <x v="1"/>
    <s v="Manual"/>
    <s v="Yes"/>
    <n v="0"/>
    <x v="3"/>
    <x v="2"/>
    <n v="40"/>
    <x v="0"/>
    <x v="0"/>
  </r>
  <r>
    <n v="24093"/>
    <x v="1"/>
    <x v="1"/>
    <n v="80000"/>
    <n v="0"/>
    <x v="3"/>
    <s v="Skilled Manual"/>
    <s v="No"/>
    <n v="0"/>
    <x v="3"/>
    <x v="2"/>
    <n v="40"/>
    <x v="0"/>
    <x v="0"/>
  </r>
  <r>
    <n v="24107"/>
    <x v="0"/>
    <x v="0"/>
    <n v="30000"/>
    <n v="3"/>
    <x v="2"/>
    <s v="Clerical"/>
    <s v="Yes"/>
    <n v="1"/>
    <x v="3"/>
    <x v="2"/>
    <n v="43"/>
    <x v="0"/>
    <x v="1"/>
  </r>
  <r>
    <n v="24119"/>
    <x v="1"/>
    <x v="0"/>
    <n v="30000"/>
    <n v="0"/>
    <x v="2"/>
    <s v="Clerical"/>
    <s v="No"/>
    <n v="1"/>
    <x v="2"/>
    <x v="2"/>
    <n v="29"/>
    <x v="2"/>
    <x v="1"/>
  </r>
  <r>
    <n v="24121"/>
    <x v="1"/>
    <x v="1"/>
    <n v="30000"/>
    <n v="0"/>
    <x v="2"/>
    <s v="Clerical"/>
    <s v="No"/>
    <n v="1"/>
    <x v="3"/>
    <x v="2"/>
    <n v="29"/>
    <x v="2"/>
    <x v="0"/>
  </r>
  <r>
    <n v="24140"/>
    <x v="1"/>
    <x v="0"/>
    <n v="10000"/>
    <n v="0"/>
    <x v="3"/>
    <s v="Manual"/>
    <s v="No"/>
    <n v="0"/>
    <x v="3"/>
    <x v="2"/>
    <n v="30"/>
    <x v="2"/>
    <x v="0"/>
  </r>
  <r>
    <n v="24149"/>
    <x v="0"/>
    <x v="0"/>
    <n v="10000"/>
    <n v="2"/>
    <x v="2"/>
    <s v="Manual"/>
    <s v="Yes"/>
    <n v="0"/>
    <x v="0"/>
    <x v="2"/>
    <n v="49"/>
    <x v="0"/>
    <x v="1"/>
  </r>
  <r>
    <n v="24151"/>
    <x v="1"/>
    <x v="0"/>
    <n v="20000"/>
    <n v="1"/>
    <x v="0"/>
    <s v="Clerical"/>
    <s v="No"/>
    <n v="0"/>
    <x v="3"/>
    <x v="2"/>
    <n v="51"/>
    <x v="0"/>
    <x v="1"/>
  </r>
  <r>
    <n v="24174"/>
    <x v="0"/>
    <x v="0"/>
    <n v="20000"/>
    <n v="0"/>
    <x v="0"/>
    <s v="Clerical"/>
    <s v="Yes"/>
    <n v="0"/>
    <x v="3"/>
    <x v="0"/>
    <n v="27"/>
    <x v="2"/>
    <x v="0"/>
  </r>
  <r>
    <n v="24185"/>
    <x v="1"/>
    <x v="1"/>
    <n v="10000"/>
    <n v="1"/>
    <x v="1"/>
    <s v="Manual"/>
    <s v="No"/>
    <n v="1"/>
    <x v="0"/>
    <x v="2"/>
    <n v="45"/>
    <x v="0"/>
    <x v="1"/>
  </r>
  <r>
    <n v="24187"/>
    <x v="1"/>
    <x v="1"/>
    <n v="30000"/>
    <n v="3"/>
    <x v="3"/>
    <s v="Clerical"/>
    <s v="No"/>
    <n v="0"/>
    <x v="3"/>
    <x v="2"/>
    <n v="46"/>
    <x v="0"/>
    <x v="0"/>
  </r>
  <r>
    <n v="24201"/>
    <x v="0"/>
    <x v="1"/>
    <n v="10000"/>
    <n v="2"/>
    <x v="1"/>
    <s v="Manual"/>
    <s v="Yes"/>
    <n v="0"/>
    <x v="3"/>
    <x v="2"/>
    <n v="37"/>
    <x v="0"/>
    <x v="0"/>
  </r>
  <r>
    <n v="24273"/>
    <x v="0"/>
    <x v="1"/>
    <n v="20000"/>
    <n v="2"/>
    <x v="4"/>
    <s v="Clerical"/>
    <s v="Yes"/>
    <n v="2"/>
    <x v="1"/>
    <x v="0"/>
    <n v="55"/>
    <x v="1"/>
    <x v="0"/>
  </r>
  <r>
    <n v="24279"/>
    <x v="1"/>
    <x v="0"/>
    <n v="40000"/>
    <n v="2"/>
    <x v="2"/>
    <s v="Skilled Manual"/>
    <s v="No"/>
    <n v="2"/>
    <x v="0"/>
    <x v="0"/>
    <n v="52"/>
    <x v="0"/>
    <x v="1"/>
  </r>
  <r>
    <n v="24305"/>
    <x v="1"/>
    <x v="0"/>
    <n v="100000"/>
    <n v="1"/>
    <x v="0"/>
    <s v="Management"/>
    <s v="No"/>
    <n v="3"/>
    <x v="3"/>
    <x v="0"/>
    <n v="46"/>
    <x v="0"/>
    <x v="0"/>
  </r>
  <r>
    <n v="24322"/>
    <x v="0"/>
    <x v="1"/>
    <n v="60000"/>
    <n v="4"/>
    <x v="0"/>
    <s v="Skilled Manual"/>
    <s v="No"/>
    <n v="2"/>
    <x v="3"/>
    <x v="1"/>
    <n v="42"/>
    <x v="0"/>
    <x v="1"/>
  </r>
  <r>
    <n v="24324"/>
    <x v="1"/>
    <x v="1"/>
    <n v="60000"/>
    <n v="4"/>
    <x v="0"/>
    <s v="Skilled Manual"/>
    <s v="Yes"/>
    <n v="2"/>
    <x v="2"/>
    <x v="1"/>
    <n v="41"/>
    <x v="0"/>
    <x v="0"/>
  </r>
  <r>
    <n v="24357"/>
    <x v="0"/>
    <x v="0"/>
    <n v="80000"/>
    <n v="3"/>
    <x v="0"/>
    <s v="Professional"/>
    <s v="Yes"/>
    <n v="1"/>
    <x v="2"/>
    <x v="1"/>
    <n v="48"/>
    <x v="0"/>
    <x v="0"/>
  </r>
  <r>
    <n v="24369"/>
    <x v="0"/>
    <x v="0"/>
    <n v="80000"/>
    <n v="5"/>
    <x v="3"/>
    <s v="Management"/>
    <s v="No"/>
    <n v="2"/>
    <x v="3"/>
    <x v="0"/>
    <n v="39"/>
    <x v="0"/>
    <x v="1"/>
  </r>
  <r>
    <n v="24381"/>
    <x v="1"/>
    <x v="0"/>
    <n v="70000"/>
    <n v="0"/>
    <x v="0"/>
    <s v="Professional"/>
    <s v="Yes"/>
    <n v="1"/>
    <x v="1"/>
    <x v="0"/>
    <n v="41"/>
    <x v="0"/>
    <x v="0"/>
  </r>
  <r>
    <n v="24397"/>
    <x v="1"/>
    <x v="0"/>
    <n v="120000"/>
    <n v="2"/>
    <x v="0"/>
    <s v="Management"/>
    <s v="No"/>
    <n v="4"/>
    <x v="0"/>
    <x v="1"/>
    <n v="40"/>
    <x v="0"/>
    <x v="1"/>
  </r>
  <r>
    <n v="24398"/>
    <x v="0"/>
    <x v="0"/>
    <n v="130000"/>
    <n v="1"/>
    <x v="3"/>
    <s v="Management"/>
    <s v="Yes"/>
    <n v="4"/>
    <x v="3"/>
    <x v="1"/>
    <n v="41"/>
    <x v="0"/>
    <x v="1"/>
  </r>
  <r>
    <n v="24416"/>
    <x v="0"/>
    <x v="0"/>
    <n v="90000"/>
    <n v="4"/>
    <x v="1"/>
    <s v="Professional"/>
    <s v="Yes"/>
    <n v="2"/>
    <x v="0"/>
    <x v="1"/>
    <n v="45"/>
    <x v="0"/>
    <x v="1"/>
  </r>
  <r>
    <n v="24433"/>
    <x v="0"/>
    <x v="0"/>
    <n v="70000"/>
    <n v="3"/>
    <x v="1"/>
    <s v="Professional"/>
    <s v="No"/>
    <n v="1"/>
    <x v="0"/>
    <x v="1"/>
    <n v="52"/>
    <x v="0"/>
    <x v="0"/>
  </r>
  <r>
    <n v="24466"/>
    <x v="0"/>
    <x v="1"/>
    <n v="60000"/>
    <n v="1"/>
    <x v="2"/>
    <s v="Skilled Manual"/>
    <s v="Yes"/>
    <n v="1"/>
    <x v="1"/>
    <x v="0"/>
    <n v="46"/>
    <x v="0"/>
    <x v="0"/>
  </r>
  <r>
    <n v="24485"/>
    <x v="1"/>
    <x v="0"/>
    <n v="40000"/>
    <n v="2"/>
    <x v="0"/>
    <s v="Management"/>
    <s v="No"/>
    <n v="1"/>
    <x v="1"/>
    <x v="0"/>
    <n v="52"/>
    <x v="0"/>
    <x v="0"/>
  </r>
  <r>
    <n v="24496"/>
    <x v="1"/>
    <x v="1"/>
    <n v="40000"/>
    <n v="0"/>
    <x v="1"/>
    <s v="Skilled Manual"/>
    <s v="No"/>
    <n v="2"/>
    <x v="3"/>
    <x v="1"/>
    <n v="28"/>
    <x v="2"/>
    <x v="0"/>
  </r>
  <r>
    <n v="24514"/>
    <x v="0"/>
    <x v="0"/>
    <n v="40000"/>
    <n v="0"/>
    <x v="2"/>
    <s v="Skilled Manual"/>
    <s v="Yes"/>
    <n v="1"/>
    <x v="1"/>
    <x v="1"/>
    <n v="30"/>
    <x v="2"/>
    <x v="1"/>
  </r>
  <r>
    <n v="24584"/>
    <x v="1"/>
    <x v="0"/>
    <n v="60000"/>
    <n v="0"/>
    <x v="0"/>
    <s v="Professional"/>
    <s v="No"/>
    <n v="3"/>
    <x v="2"/>
    <x v="0"/>
    <n v="31"/>
    <x v="0"/>
    <x v="1"/>
  </r>
  <r>
    <n v="24611"/>
    <x v="1"/>
    <x v="0"/>
    <n v="90000"/>
    <n v="0"/>
    <x v="0"/>
    <s v="Professional"/>
    <s v="No"/>
    <n v="4"/>
    <x v="4"/>
    <x v="0"/>
    <n v="35"/>
    <x v="0"/>
    <x v="0"/>
  </r>
  <r>
    <n v="24637"/>
    <x v="0"/>
    <x v="0"/>
    <n v="40000"/>
    <n v="4"/>
    <x v="1"/>
    <s v="Professional"/>
    <s v="Yes"/>
    <n v="2"/>
    <x v="4"/>
    <x v="1"/>
    <n v="64"/>
    <x v="1"/>
    <x v="1"/>
  </r>
  <r>
    <n v="24643"/>
    <x v="1"/>
    <x v="1"/>
    <n v="60000"/>
    <n v="4"/>
    <x v="0"/>
    <s v="Management"/>
    <s v="Yes"/>
    <n v="2"/>
    <x v="4"/>
    <x v="1"/>
    <n v="63"/>
    <x v="1"/>
    <x v="1"/>
  </r>
  <r>
    <n v="24725"/>
    <x v="0"/>
    <x v="1"/>
    <n v="40000"/>
    <n v="3"/>
    <x v="2"/>
    <s v="Clerical"/>
    <s v="Yes"/>
    <n v="0"/>
    <x v="0"/>
    <x v="1"/>
    <n v="31"/>
    <x v="0"/>
    <x v="1"/>
  </r>
  <r>
    <n v="24738"/>
    <x v="0"/>
    <x v="1"/>
    <n v="40000"/>
    <n v="1"/>
    <x v="2"/>
    <s v="Clerical"/>
    <s v="Yes"/>
    <n v="1"/>
    <x v="0"/>
    <x v="1"/>
    <n v="51"/>
    <x v="0"/>
    <x v="0"/>
  </r>
  <r>
    <n v="24745"/>
    <x v="1"/>
    <x v="1"/>
    <n v="30000"/>
    <n v="2"/>
    <x v="1"/>
    <s v="Skilled Manual"/>
    <s v="No"/>
    <n v="2"/>
    <x v="3"/>
    <x v="1"/>
    <n v="49"/>
    <x v="0"/>
    <x v="1"/>
  </r>
  <r>
    <n v="24801"/>
    <x v="1"/>
    <x v="0"/>
    <n v="60000"/>
    <n v="1"/>
    <x v="3"/>
    <s v="Professional"/>
    <s v="Yes"/>
    <n v="0"/>
    <x v="2"/>
    <x v="1"/>
    <n v="35"/>
    <x v="0"/>
    <x v="0"/>
  </r>
  <r>
    <n v="24842"/>
    <x v="1"/>
    <x v="1"/>
    <n v="90000"/>
    <n v="3"/>
    <x v="1"/>
    <s v="Professional"/>
    <s v="No"/>
    <n v="1"/>
    <x v="2"/>
    <x v="2"/>
    <n v="51"/>
    <x v="0"/>
    <x v="1"/>
  </r>
  <r>
    <n v="24857"/>
    <x v="0"/>
    <x v="1"/>
    <n v="130000"/>
    <n v="3"/>
    <x v="1"/>
    <s v="Professional"/>
    <s v="Yes"/>
    <n v="4"/>
    <x v="3"/>
    <x v="2"/>
    <n v="52"/>
    <x v="0"/>
    <x v="1"/>
  </r>
  <r>
    <n v="24871"/>
    <x v="1"/>
    <x v="1"/>
    <n v="90000"/>
    <n v="4"/>
    <x v="1"/>
    <s v="Management"/>
    <s v="No"/>
    <n v="3"/>
    <x v="1"/>
    <x v="2"/>
    <n v="56"/>
    <x v="1"/>
    <x v="1"/>
  </r>
  <r>
    <n v="24898"/>
    <x v="1"/>
    <x v="1"/>
    <n v="80000"/>
    <n v="0"/>
    <x v="0"/>
    <s v="Professional"/>
    <s v="Yes"/>
    <n v="3"/>
    <x v="4"/>
    <x v="0"/>
    <n v="32"/>
    <x v="0"/>
    <x v="1"/>
  </r>
  <r>
    <n v="24901"/>
    <x v="1"/>
    <x v="0"/>
    <n v="110000"/>
    <n v="0"/>
    <x v="2"/>
    <s v="Management"/>
    <s v="No"/>
    <n v="3"/>
    <x v="4"/>
    <x v="0"/>
    <n v="32"/>
    <x v="0"/>
    <x v="0"/>
  </r>
  <r>
    <n v="24941"/>
    <x v="0"/>
    <x v="0"/>
    <n v="60000"/>
    <n v="3"/>
    <x v="0"/>
    <s v="Management"/>
    <s v="Yes"/>
    <n v="2"/>
    <x v="4"/>
    <x v="1"/>
    <n v="66"/>
    <x v="1"/>
    <x v="1"/>
  </r>
  <r>
    <n v="24943"/>
    <x v="0"/>
    <x v="0"/>
    <n v="60000"/>
    <n v="3"/>
    <x v="0"/>
    <s v="Management"/>
    <s v="Yes"/>
    <n v="2"/>
    <x v="4"/>
    <x v="1"/>
    <n v="66"/>
    <x v="1"/>
    <x v="1"/>
  </r>
  <r>
    <n v="24955"/>
    <x v="1"/>
    <x v="0"/>
    <n v="30000"/>
    <n v="5"/>
    <x v="4"/>
    <s v="Skilled Manual"/>
    <s v="Yes"/>
    <n v="3"/>
    <x v="4"/>
    <x v="1"/>
    <n v="60"/>
    <x v="1"/>
    <x v="0"/>
  </r>
  <r>
    <n v="24958"/>
    <x v="1"/>
    <x v="1"/>
    <n v="40000"/>
    <n v="5"/>
    <x v="1"/>
    <s v="Professional"/>
    <s v="No"/>
    <n v="3"/>
    <x v="2"/>
    <x v="1"/>
    <n v="60"/>
    <x v="1"/>
    <x v="0"/>
  </r>
  <r>
    <n v="24979"/>
    <x v="0"/>
    <x v="1"/>
    <n v="60000"/>
    <n v="2"/>
    <x v="2"/>
    <s v="Professional"/>
    <s v="Yes"/>
    <n v="2"/>
    <x v="2"/>
    <x v="1"/>
    <n v="57"/>
    <x v="1"/>
    <x v="0"/>
  </r>
  <r>
    <n v="24981"/>
    <x v="0"/>
    <x v="0"/>
    <n v="60000"/>
    <n v="2"/>
    <x v="2"/>
    <s v="Professional"/>
    <s v="Yes"/>
    <n v="2"/>
    <x v="4"/>
    <x v="1"/>
    <n v="56"/>
    <x v="1"/>
    <x v="1"/>
  </r>
  <r>
    <n v="25006"/>
    <x v="1"/>
    <x v="1"/>
    <n v="30000"/>
    <n v="0"/>
    <x v="2"/>
    <s v="Skilled Manual"/>
    <s v="Yes"/>
    <n v="1"/>
    <x v="1"/>
    <x v="1"/>
    <n v="28"/>
    <x v="2"/>
    <x v="1"/>
  </r>
  <r>
    <n v="25026"/>
    <x v="0"/>
    <x v="0"/>
    <n v="20000"/>
    <n v="2"/>
    <x v="4"/>
    <s v="Clerical"/>
    <s v="Yes"/>
    <n v="3"/>
    <x v="1"/>
    <x v="0"/>
    <n v="54"/>
    <x v="1"/>
    <x v="1"/>
  </r>
  <r>
    <n v="25041"/>
    <x v="1"/>
    <x v="0"/>
    <n v="40000"/>
    <n v="0"/>
    <x v="1"/>
    <s v="Skilled Manual"/>
    <s v="Yes"/>
    <n v="2"/>
    <x v="1"/>
    <x v="1"/>
    <n v="31"/>
    <x v="0"/>
    <x v="1"/>
  </r>
  <r>
    <n v="25058"/>
    <x v="0"/>
    <x v="0"/>
    <n v="100000"/>
    <n v="1"/>
    <x v="0"/>
    <s v="Management"/>
    <s v="Yes"/>
    <n v="3"/>
    <x v="2"/>
    <x v="0"/>
    <n v="47"/>
    <x v="0"/>
    <x v="1"/>
  </r>
  <r>
    <n v="25065"/>
    <x v="0"/>
    <x v="0"/>
    <n v="70000"/>
    <n v="2"/>
    <x v="4"/>
    <s v="Skilled Manual"/>
    <s v="Yes"/>
    <n v="2"/>
    <x v="1"/>
    <x v="1"/>
    <n v="48"/>
    <x v="0"/>
    <x v="1"/>
  </r>
  <r>
    <n v="25074"/>
    <x v="0"/>
    <x v="1"/>
    <n v="70000"/>
    <n v="4"/>
    <x v="0"/>
    <s v="Professional"/>
    <s v="Yes"/>
    <n v="2"/>
    <x v="2"/>
    <x v="1"/>
    <n v="42"/>
    <x v="0"/>
    <x v="0"/>
  </r>
  <r>
    <n v="25101"/>
    <x v="0"/>
    <x v="0"/>
    <n v="60000"/>
    <n v="5"/>
    <x v="0"/>
    <s v="Professional"/>
    <s v="Yes"/>
    <n v="1"/>
    <x v="2"/>
    <x v="1"/>
    <n v="47"/>
    <x v="0"/>
    <x v="1"/>
  </r>
  <r>
    <n v="25148"/>
    <x v="0"/>
    <x v="0"/>
    <n v="60000"/>
    <n v="2"/>
    <x v="1"/>
    <s v="Professional"/>
    <s v="No"/>
    <n v="2"/>
    <x v="0"/>
    <x v="1"/>
    <n v="48"/>
    <x v="0"/>
    <x v="0"/>
  </r>
  <r>
    <n v="25184"/>
    <x v="1"/>
    <x v="0"/>
    <n v="110000"/>
    <n v="1"/>
    <x v="2"/>
    <s v="Professional"/>
    <s v="Yes"/>
    <n v="4"/>
    <x v="1"/>
    <x v="1"/>
    <n v="45"/>
    <x v="0"/>
    <x v="0"/>
  </r>
  <r>
    <n v="25241"/>
    <x v="0"/>
    <x v="0"/>
    <n v="90000"/>
    <n v="2"/>
    <x v="0"/>
    <s v="Professional"/>
    <s v="Yes"/>
    <n v="1"/>
    <x v="1"/>
    <x v="0"/>
    <n v="47"/>
    <x v="0"/>
    <x v="1"/>
  </r>
  <r>
    <n v="25261"/>
    <x v="0"/>
    <x v="0"/>
    <n v="40000"/>
    <n v="0"/>
    <x v="1"/>
    <s v="Skilled Manual"/>
    <s v="Yes"/>
    <n v="2"/>
    <x v="1"/>
    <x v="1"/>
    <n v="27"/>
    <x v="2"/>
    <x v="1"/>
  </r>
  <r>
    <n v="25266"/>
    <x v="1"/>
    <x v="1"/>
    <n v="30000"/>
    <n v="2"/>
    <x v="2"/>
    <s v="Clerical"/>
    <s v="No"/>
    <n v="2"/>
    <x v="1"/>
    <x v="0"/>
    <n v="67"/>
    <x v="1"/>
    <x v="1"/>
  </r>
  <r>
    <n v="25293"/>
    <x v="0"/>
    <x v="0"/>
    <n v="80000"/>
    <n v="4"/>
    <x v="0"/>
    <s v="Management"/>
    <s v="Yes"/>
    <n v="0"/>
    <x v="0"/>
    <x v="1"/>
    <n v="42"/>
    <x v="0"/>
    <x v="1"/>
  </r>
  <r>
    <n v="25303"/>
    <x v="1"/>
    <x v="0"/>
    <n v="30000"/>
    <n v="0"/>
    <x v="1"/>
    <s v="Manual"/>
    <s v="Yes"/>
    <n v="1"/>
    <x v="2"/>
    <x v="2"/>
    <n v="33"/>
    <x v="0"/>
    <x v="0"/>
  </r>
  <r>
    <n v="25307"/>
    <x v="0"/>
    <x v="1"/>
    <n v="40000"/>
    <n v="1"/>
    <x v="0"/>
    <s v="Skilled Manual"/>
    <s v="Yes"/>
    <n v="1"/>
    <x v="0"/>
    <x v="2"/>
    <n v="32"/>
    <x v="0"/>
    <x v="0"/>
  </r>
  <r>
    <n v="25313"/>
    <x v="1"/>
    <x v="0"/>
    <n v="10000"/>
    <n v="0"/>
    <x v="4"/>
    <s v="Manual"/>
    <s v="No"/>
    <n v="2"/>
    <x v="0"/>
    <x v="2"/>
    <n v="35"/>
    <x v="0"/>
    <x v="1"/>
  </r>
  <r>
    <n v="25323"/>
    <x v="0"/>
    <x v="0"/>
    <n v="40000"/>
    <n v="2"/>
    <x v="2"/>
    <s v="Clerical"/>
    <s v="Yes"/>
    <n v="1"/>
    <x v="0"/>
    <x v="2"/>
    <n v="35"/>
    <x v="0"/>
    <x v="0"/>
  </r>
  <r>
    <n v="25329"/>
    <x v="1"/>
    <x v="1"/>
    <n v="40000"/>
    <n v="3"/>
    <x v="2"/>
    <s v="Clerical"/>
    <s v="No"/>
    <n v="2"/>
    <x v="3"/>
    <x v="1"/>
    <n v="32"/>
    <x v="0"/>
    <x v="1"/>
  </r>
  <r>
    <n v="25343"/>
    <x v="1"/>
    <x v="1"/>
    <n v="20000"/>
    <n v="3"/>
    <x v="4"/>
    <s v="Clerical"/>
    <s v="Yes"/>
    <n v="2"/>
    <x v="0"/>
    <x v="1"/>
    <n v="50"/>
    <x v="0"/>
    <x v="1"/>
  </r>
  <r>
    <n v="25347"/>
    <x v="1"/>
    <x v="1"/>
    <n v="20000"/>
    <n v="3"/>
    <x v="4"/>
    <s v="Clerical"/>
    <s v="No"/>
    <n v="2"/>
    <x v="3"/>
    <x v="1"/>
    <n v="49"/>
    <x v="0"/>
    <x v="1"/>
  </r>
  <r>
    <n v="25375"/>
    <x v="0"/>
    <x v="0"/>
    <n v="50000"/>
    <n v="1"/>
    <x v="3"/>
    <s v="Skilled Manual"/>
    <s v="Yes"/>
    <n v="0"/>
    <x v="0"/>
    <x v="1"/>
    <n v="34"/>
    <x v="0"/>
    <x v="1"/>
  </r>
  <r>
    <n v="25394"/>
    <x v="0"/>
    <x v="0"/>
    <n v="60000"/>
    <n v="1"/>
    <x v="3"/>
    <s v="Professional"/>
    <s v="Yes"/>
    <n v="0"/>
    <x v="2"/>
    <x v="1"/>
    <n v="34"/>
    <x v="0"/>
    <x v="0"/>
  </r>
  <r>
    <n v="25405"/>
    <x v="0"/>
    <x v="0"/>
    <n v="70000"/>
    <n v="2"/>
    <x v="0"/>
    <s v="Skilled Manual"/>
    <s v="Yes"/>
    <n v="1"/>
    <x v="2"/>
    <x v="1"/>
    <n v="38"/>
    <x v="0"/>
    <x v="0"/>
  </r>
  <r>
    <n v="25419"/>
    <x v="1"/>
    <x v="0"/>
    <n v="50000"/>
    <n v="2"/>
    <x v="0"/>
    <s v="Skilled Manual"/>
    <s v="No"/>
    <n v="1"/>
    <x v="3"/>
    <x v="1"/>
    <n v="38"/>
    <x v="0"/>
    <x v="0"/>
  </r>
  <r>
    <n v="25458"/>
    <x v="0"/>
    <x v="0"/>
    <n v="20000"/>
    <n v="1"/>
    <x v="1"/>
    <s v="Manual"/>
    <s v="No"/>
    <n v="1"/>
    <x v="0"/>
    <x v="2"/>
    <n v="40"/>
    <x v="0"/>
    <x v="0"/>
  </r>
  <r>
    <n v="25460"/>
    <x v="0"/>
    <x v="1"/>
    <n v="20000"/>
    <n v="2"/>
    <x v="1"/>
    <s v="Manual"/>
    <s v="Yes"/>
    <n v="0"/>
    <x v="3"/>
    <x v="2"/>
    <n v="40"/>
    <x v="0"/>
    <x v="0"/>
  </r>
  <r>
    <n v="25502"/>
    <x v="0"/>
    <x v="1"/>
    <n v="40000"/>
    <n v="1"/>
    <x v="0"/>
    <s v="Skilled Manual"/>
    <s v="Yes"/>
    <n v="0"/>
    <x v="3"/>
    <x v="2"/>
    <n v="43"/>
    <x v="0"/>
    <x v="0"/>
  </r>
  <r>
    <n v="25512"/>
    <x v="1"/>
    <x v="0"/>
    <n v="20000"/>
    <n v="0"/>
    <x v="1"/>
    <s v="Manual"/>
    <s v="No"/>
    <n v="1"/>
    <x v="2"/>
    <x v="2"/>
    <n v="30"/>
    <x v="2"/>
    <x v="1"/>
  </r>
  <r>
    <n v="25529"/>
    <x v="1"/>
    <x v="0"/>
    <n v="10000"/>
    <n v="1"/>
    <x v="3"/>
    <s v="Manual"/>
    <s v="Yes"/>
    <n v="0"/>
    <x v="3"/>
    <x v="2"/>
    <n v="44"/>
    <x v="0"/>
    <x v="1"/>
  </r>
  <r>
    <n v="25553"/>
    <x v="0"/>
    <x v="0"/>
    <n v="30000"/>
    <n v="1"/>
    <x v="0"/>
    <s v="Clerical"/>
    <s v="Yes"/>
    <n v="0"/>
    <x v="3"/>
    <x v="2"/>
    <n v="65"/>
    <x v="1"/>
    <x v="0"/>
  </r>
  <r>
    <n v="25555"/>
    <x v="0"/>
    <x v="1"/>
    <n v="10000"/>
    <n v="0"/>
    <x v="2"/>
    <s v="Manual"/>
    <s v="No"/>
    <n v="1"/>
    <x v="3"/>
    <x v="0"/>
    <n v="26"/>
    <x v="2"/>
    <x v="0"/>
  </r>
  <r>
    <n v="25559"/>
    <x v="1"/>
    <x v="0"/>
    <n v="20000"/>
    <n v="0"/>
    <x v="0"/>
    <s v="Clerical"/>
    <s v="Yes"/>
    <n v="0"/>
    <x v="3"/>
    <x v="0"/>
    <n v="25"/>
    <x v="2"/>
    <x v="0"/>
  </r>
  <r>
    <n v="25597"/>
    <x v="1"/>
    <x v="0"/>
    <n v="30000"/>
    <n v="0"/>
    <x v="0"/>
    <s v="Clerical"/>
    <s v="No"/>
    <n v="0"/>
    <x v="3"/>
    <x v="2"/>
    <n v="36"/>
    <x v="0"/>
    <x v="0"/>
  </r>
  <r>
    <n v="25598"/>
    <x v="0"/>
    <x v="1"/>
    <n v="40000"/>
    <n v="0"/>
    <x v="3"/>
    <s v="Clerical"/>
    <s v="Yes"/>
    <n v="0"/>
    <x v="3"/>
    <x v="2"/>
    <n v="36"/>
    <x v="0"/>
    <x v="0"/>
  </r>
  <r>
    <n v="25605"/>
    <x v="1"/>
    <x v="1"/>
    <n v="20000"/>
    <n v="2"/>
    <x v="2"/>
    <s v="Manual"/>
    <s v="No"/>
    <n v="1"/>
    <x v="3"/>
    <x v="2"/>
    <n v="54"/>
    <x v="1"/>
    <x v="0"/>
  </r>
  <r>
    <n v="25649"/>
    <x v="1"/>
    <x v="1"/>
    <n v="30000"/>
    <n v="3"/>
    <x v="2"/>
    <s v="Clerical"/>
    <s v="Yes"/>
    <n v="0"/>
    <x v="3"/>
    <x v="2"/>
    <n v="42"/>
    <x v="0"/>
    <x v="0"/>
  </r>
  <r>
    <n v="25651"/>
    <x v="0"/>
    <x v="0"/>
    <n v="40000"/>
    <n v="1"/>
    <x v="0"/>
    <s v="Skilled Manual"/>
    <s v="No"/>
    <n v="0"/>
    <x v="3"/>
    <x v="2"/>
    <n v="43"/>
    <x v="0"/>
    <x v="0"/>
  </r>
  <r>
    <n v="25665"/>
    <x v="1"/>
    <x v="1"/>
    <n v="20000"/>
    <n v="0"/>
    <x v="1"/>
    <s v="Manual"/>
    <s v="No"/>
    <n v="1"/>
    <x v="0"/>
    <x v="2"/>
    <n v="28"/>
    <x v="2"/>
    <x v="1"/>
  </r>
  <r>
    <n v="25681"/>
    <x v="1"/>
    <x v="1"/>
    <n v="30000"/>
    <n v="0"/>
    <x v="2"/>
    <s v="Clerical"/>
    <s v="No"/>
    <n v="1"/>
    <x v="2"/>
    <x v="2"/>
    <n v="31"/>
    <x v="0"/>
    <x v="0"/>
  </r>
  <r>
    <n v="25693"/>
    <x v="1"/>
    <x v="1"/>
    <n v="30000"/>
    <n v="5"/>
    <x v="3"/>
    <s v="Clerical"/>
    <s v="Yes"/>
    <n v="0"/>
    <x v="3"/>
    <x v="2"/>
    <n v="44"/>
    <x v="0"/>
    <x v="0"/>
  </r>
  <r>
    <n v="25752"/>
    <x v="1"/>
    <x v="1"/>
    <n v="20000"/>
    <n v="2"/>
    <x v="2"/>
    <s v="Manual"/>
    <s v="No"/>
    <n v="1"/>
    <x v="3"/>
    <x v="2"/>
    <n v="53"/>
    <x v="0"/>
    <x v="0"/>
  </r>
  <r>
    <n v="25792"/>
    <x v="1"/>
    <x v="1"/>
    <n v="110000"/>
    <n v="3"/>
    <x v="0"/>
    <s v="Management"/>
    <s v="Yes"/>
    <n v="4"/>
    <x v="4"/>
    <x v="2"/>
    <n v="53"/>
    <x v="0"/>
    <x v="1"/>
  </r>
  <r>
    <n v="25872"/>
    <x v="1"/>
    <x v="1"/>
    <n v="70000"/>
    <n v="2"/>
    <x v="0"/>
    <s v="Management"/>
    <s v="No"/>
    <n v="1"/>
    <x v="2"/>
    <x v="1"/>
    <n v="58"/>
    <x v="1"/>
    <x v="0"/>
  </r>
  <r>
    <n v="25886"/>
    <x v="0"/>
    <x v="1"/>
    <n v="60000"/>
    <n v="2"/>
    <x v="2"/>
    <s v="Professional"/>
    <s v="Yes"/>
    <n v="2"/>
    <x v="2"/>
    <x v="1"/>
    <n v="56"/>
    <x v="1"/>
    <x v="0"/>
  </r>
  <r>
    <n v="25898"/>
    <x v="0"/>
    <x v="1"/>
    <n v="70000"/>
    <n v="2"/>
    <x v="1"/>
    <s v="Professional"/>
    <s v="Yes"/>
    <n v="2"/>
    <x v="2"/>
    <x v="1"/>
    <n v="53"/>
    <x v="0"/>
    <x v="1"/>
  </r>
  <r>
    <n v="25899"/>
    <x v="0"/>
    <x v="1"/>
    <n v="70000"/>
    <n v="2"/>
    <x v="1"/>
    <s v="Professional"/>
    <s v="Yes"/>
    <n v="2"/>
    <x v="4"/>
    <x v="1"/>
    <n v="53"/>
    <x v="0"/>
    <x v="1"/>
  </r>
  <r>
    <n v="25906"/>
    <x v="1"/>
    <x v="1"/>
    <n v="10000"/>
    <n v="5"/>
    <x v="1"/>
    <s v="Skilled Manual"/>
    <s v="No"/>
    <n v="2"/>
    <x v="0"/>
    <x v="0"/>
    <n v="62"/>
    <x v="1"/>
    <x v="1"/>
  </r>
  <r>
    <n v="25908"/>
    <x v="0"/>
    <x v="1"/>
    <n v="60000"/>
    <n v="0"/>
    <x v="2"/>
    <s v="Skilled Manual"/>
    <s v="No"/>
    <n v="1"/>
    <x v="0"/>
    <x v="1"/>
    <n v="27"/>
    <x v="2"/>
    <x v="1"/>
  </r>
  <r>
    <n v="25909"/>
    <x v="0"/>
    <x v="0"/>
    <n v="60000"/>
    <n v="0"/>
    <x v="2"/>
    <s v="Skilled Manual"/>
    <s v="Yes"/>
    <n v="1"/>
    <x v="1"/>
    <x v="1"/>
    <n v="27"/>
    <x v="2"/>
    <x v="0"/>
  </r>
  <r>
    <n v="25918"/>
    <x v="1"/>
    <x v="1"/>
    <n v="30000"/>
    <n v="2"/>
    <x v="2"/>
    <s v="Clerical"/>
    <s v="No"/>
    <n v="2"/>
    <x v="1"/>
    <x v="0"/>
    <n v="60"/>
    <x v="1"/>
    <x v="0"/>
  </r>
  <r>
    <n v="25923"/>
    <x v="1"/>
    <x v="0"/>
    <n v="10000"/>
    <n v="2"/>
    <x v="4"/>
    <s v="Clerical"/>
    <s v="Yes"/>
    <n v="2"/>
    <x v="1"/>
    <x v="0"/>
    <n v="58"/>
    <x v="1"/>
    <x v="1"/>
  </r>
  <r>
    <n v="25940"/>
    <x v="1"/>
    <x v="0"/>
    <n v="20000"/>
    <n v="2"/>
    <x v="4"/>
    <s v="Clerical"/>
    <s v="Yes"/>
    <n v="2"/>
    <x v="1"/>
    <x v="0"/>
    <n v="55"/>
    <x v="1"/>
    <x v="0"/>
  </r>
  <r>
    <n v="25943"/>
    <x v="1"/>
    <x v="1"/>
    <n v="70000"/>
    <n v="0"/>
    <x v="2"/>
    <s v="Skilled Manual"/>
    <s v="No"/>
    <n v="2"/>
    <x v="3"/>
    <x v="1"/>
    <n v="27"/>
    <x v="2"/>
    <x v="0"/>
  </r>
  <r>
    <n v="25954"/>
    <x v="0"/>
    <x v="0"/>
    <n v="60000"/>
    <n v="0"/>
    <x v="2"/>
    <s v="Skilled Manual"/>
    <s v="No"/>
    <n v="2"/>
    <x v="0"/>
    <x v="1"/>
    <n v="31"/>
    <x v="0"/>
    <x v="1"/>
  </r>
  <r>
    <n v="25970"/>
    <x v="1"/>
    <x v="1"/>
    <n v="60000"/>
    <n v="4"/>
    <x v="0"/>
    <s v="Skilled Manual"/>
    <s v="No"/>
    <n v="2"/>
    <x v="3"/>
    <x v="1"/>
    <n v="41"/>
    <x v="0"/>
    <x v="0"/>
  </r>
  <r>
    <n v="25983"/>
    <x v="0"/>
    <x v="0"/>
    <n v="70000"/>
    <n v="0"/>
    <x v="0"/>
    <s v="Professional"/>
    <s v="No"/>
    <n v="1"/>
    <x v="3"/>
    <x v="1"/>
    <n v="43"/>
    <x v="0"/>
    <x v="1"/>
  </r>
  <r>
    <n v="26012"/>
    <x v="0"/>
    <x v="0"/>
    <n v="80000"/>
    <n v="1"/>
    <x v="2"/>
    <s v="Skilled Manual"/>
    <s v="Yes"/>
    <n v="1"/>
    <x v="2"/>
    <x v="1"/>
    <n v="48"/>
    <x v="0"/>
    <x v="0"/>
  </r>
  <r>
    <n v="26032"/>
    <x v="0"/>
    <x v="1"/>
    <n v="70000"/>
    <n v="5"/>
    <x v="0"/>
    <s v="Professional"/>
    <s v="Yes"/>
    <n v="4"/>
    <x v="4"/>
    <x v="0"/>
    <n v="41"/>
    <x v="0"/>
    <x v="1"/>
  </r>
  <r>
    <n v="26065"/>
    <x v="1"/>
    <x v="1"/>
    <n v="110000"/>
    <n v="3"/>
    <x v="0"/>
    <s v="Management"/>
    <s v="No"/>
    <n v="4"/>
    <x v="0"/>
    <x v="1"/>
    <n v="42"/>
    <x v="0"/>
    <x v="1"/>
  </r>
  <r>
    <n v="26139"/>
    <x v="1"/>
    <x v="0"/>
    <n v="60000"/>
    <n v="1"/>
    <x v="2"/>
    <s v="Skilled Manual"/>
    <s v="Yes"/>
    <n v="1"/>
    <x v="1"/>
    <x v="0"/>
    <n v="45"/>
    <x v="0"/>
    <x v="1"/>
  </r>
  <r>
    <n v="26150"/>
    <x v="1"/>
    <x v="1"/>
    <n v="70000"/>
    <n v="0"/>
    <x v="0"/>
    <s v="Professional"/>
    <s v="No"/>
    <n v="1"/>
    <x v="3"/>
    <x v="0"/>
    <n v="41"/>
    <x v="0"/>
    <x v="0"/>
  </r>
  <r>
    <n v="26154"/>
    <x v="0"/>
    <x v="0"/>
    <n v="60000"/>
    <n v="1"/>
    <x v="2"/>
    <s v="Skilled Manual"/>
    <s v="Yes"/>
    <n v="1"/>
    <x v="1"/>
    <x v="0"/>
    <n v="43"/>
    <x v="0"/>
    <x v="0"/>
  </r>
  <r>
    <n v="26167"/>
    <x v="1"/>
    <x v="1"/>
    <n v="40000"/>
    <n v="2"/>
    <x v="0"/>
    <s v="Management"/>
    <s v="No"/>
    <n v="1"/>
    <x v="1"/>
    <x v="0"/>
    <n v="53"/>
    <x v="0"/>
    <x v="0"/>
  </r>
  <r>
    <n v="26219"/>
    <x v="0"/>
    <x v="1"/>
    <n v="40000"/>
    <n v="1"/>
    <x v="0"/>
    <s v="Skilled Manual"/>
    <s v="Yes"/>
    <n v="1"/>
    <x v="0"/>
    <x v="2"/>
    <n v="33"/>
    <x v="0"/>
    <x v="0"/>
  </r>
  <r>
    <n v="26236"/>
    <x v="0"/>
    <x v="1"/>
    <n v="40000"/>
    <n v="3"/>
    <x v="2"/>
    <s v="Clerical"/>
    <s v="Yes"/>
    <n v="1"/>
    <x v="3"/>
    <x v="1"/>
    <n v="31"/>
    <x v="0"/>
    <x v="1"/>
  </r>
  <r>
    <n v="26238"/>
    <x v="1"/>
    <x v="1"/>
    <n v="40000"/>
    <n v="3"/>
    <x v="2"/>
    <s v="Clerical"/>
    <s v="Yes"/>
    <n v="1"/>
    <x v="0"/>
    <x v="1"/>
    <n v="31"/>
    <x v="0"/>
    <x v="0"/>
  </r>
  <r>
    <n v="26248"/>
    <x v="0"/>
    <x v="0"/>
    <n v="20000"/>
    <n v="3"/>
    <x v="4"/>
    <s v="Clerical"/>
    <s v="No"/>
    <n v="2"/>
    <x v="3"/>
    <x v="1"/>
    <n v="52"/>
    <x v="0"/>
    <x v="1"/>
  </r>
  <r>
    <n v="26270"/>
    <x v="1"/>
    <x v="1"/>
    <n v="20000"/>
    <n v="2"/>
    <x v="4"/>
    <s v="Clerical"/>
    <s v="Yes"/>
    <n v="2"/>
    <x v="0"/>
    <x v="1"/>
    <n v="49"/>
    <x v="0"/>
    <x v="1"/>
  </r>
  <r>
    <n v="26298"/>
    <x v="0"/>
    <x v="1"/>
    <n v="50000"/>
    <n v="1"/>
    <x v="0"/>
    <s v="Skilled Manual"/>
    <s v="Yes"/>
    <n v="0"/>
    <x v="2"/>
    <x v="1"/>
    <n v="34"/>
    <x v="0"/>
    <x v="0"/>
  </r>
  <r>
    <n v="26305"/>
    <x v="1"/>
    <x v="1"/>
    <n v="60000"/>
    <n v="2"/>
    <x v="0"/>
    <s v="Skilled Manual"/>
    <s v="No"/>
    <n v="0"/>
    <x v="3"/>
    <x v="1"/>
    <n v="36"/>
    <x v="0"/>
    <x v="0"/>
  </r>
  <r>
    <n v="26327"/>
    <x v="0"/>
    <x v="0"/>
    <n v="70000"/>
    <n v="4"/>
    <x v="3"/>
    <s v="Professional"/>
    <s v="Yes"/>
    <n v="0"/>
    <x v="2"/>
    <x v="1"/>
    <n v="36"/>
    <x v="0"/>
    <x v="0"/>
  </r>
  <r>
    <n v="26341"/>
    <x v="0"/>
    <x v="1"/>
    <n v="70000"/>
    <n v="5"/>
    <x v="3"/>
    <s v="Professional"/>
    <s v="Yes"/>
    <n v="2"/>
    <x v="3"/>
    <x v="1"/>
    <n v="37"/>
    <x v="0"/>
    <x v="1"/>
  </r>
  <r>
    <n v="26354"/>
    <x v="1"/>
    <x v="0"/>
    <n v="40000"/>
    <n v="0"/>
    <x v="3"/>
    <s v="Clerical"/>
    <s v="No"/>
    <n v="0"/>
    <x v="3"/>
    <x v="2"/>
    <n v="38"/>
    <x v="0"/>
    <x v="0"/>
  </r>
  <r>
    <n v="26385"/>
    <x v="1"/>
    <x v="0"/>
    <n v="120000"/>
    <n v="3"/>
    <x v="1"/>
    <s v="Professional"/>
    <s v="No"/>
    <n v="4"/>
    <x v="1"/>
    <x v="2"/>
    <n v="50"/>
    <x v="0"/>
    <x v="1"/>
  </r>
  <r>
    <n v="26412"/>
    <x v="0"/>
    <x v="1"/>
    <n v="80000"/>
    <n v="5"/>
    <x v="1"/>
    <s v="Management"/>
    <s v="No"/>
    <n v="3"/>
    <x v="1"/>
    <x v="2"/>
    <n v="56"/>
    <x v="1"/>
    <x v="1"/>
  </r>
  <r>
    <n v="26415"/>
    <x v="0"/>
    <x v="1"/>
    <n v="90000"/>
    <n v="4"/>
    <x v="4"/>
    <s v="Skilled Manual"/>
    <s v="Yes"/>
    <n v="4"/>
    <x v="4"/>
    <x v="2"/>
    <n v="58"/>
    <x v="1"/>
    <x v="1"/>
  </r>
  <r>
    <n v="26452"/>
    <x v="1"/>
    <x v="0"/>
    <n v="50000"/>
    <n v="3"/>
    <x v="3"/>
    <s v="Management"/>
    <s v="Yes"/>
    <n v="2"/>
    <x v="4"/>
    <x v="1"/>
    <n v="69"/>
    <x v="1"/>
    <x v="1"/>
  </r>
  <r>
    <n v="26490"/>
    <x v="1"/>
    <x v="0"/>
    <n v="70000"/>
    <n v="2"/>
    <x v="0"/>
    <s v="Management"/>
    <s v="No"/>
    <n v="1"/>
    <x v="2"/>
    <x v="1"/>
    <n v="59"/>
    <x v="1"/>
    <x v="0"/>
  </r>
  <r>
    <n v="26495"/>
    <x v="1"/>
    <x v="1"/>
    <n v="40000"/>
    <n v="2"/>
    <x v="1"/>
    <s v="Professional"/>
    <s v="Yes"/>
    <n v="2"/>
    <x v="4"/>
    <x v="1"/>
    <n v="57"/>
    <x v="1"/>
    <x v="1"/>
  </r>
  <r>
    <n v="26547"/>
    <x v="1"/>
    <x v="1"/>
    <n v="30000"/>
    <n v="2"/>
    <x v="2"/>
    <s v="Clerical"/>
    <s v="No"/>
    <n v="2"/>
    <x v="1"/>
    <x v="0"/>
    <n v="60"/>
    <x v="1"/>
    <x v="0"/>
  </r>
  <r>
    <n v="26575"/>
    <x v="1"/>
    <x v="1"/>
    <n v="40000"/>
    <n v="0"/>
    <x v="1"/>
    <s v="Skilled Manual"/>
    <s v="No"/>
    <n v="2"/>
    <x v="0"/>
    <x v="1"/>
    <n v="31"/>
    <x v="0"/>
    <x v="0"/>
  </r>
  <r>
    <n v="26576"/>
    <x v="0"/>
    <x v="1"/>
    <n v="60000"/>
    <n v="0"/>
    <x v="2"/>
    <s v="Skilled Manual"/>
    <s v="Yes"/>
    <n v="2"/>
    <x v="1"/>
    <x v="1"/>
    <n v="31"/>
    <x v="0"/>
    <x v="1"/>
  </r>
  <r>
    <n v="26582"/>
    <x v="0"/>
    <x v="0"/>
    <n v="60000"/>
    <n v="0"/>
    <x v="2"/>
    <s v="Skilled Manual"/>
    <s v="Yes"/>
    <n v="2"/>
    <x v="1"/>
    <x v="1"/>
    <n v="33"/>
    <x v="0"/>
    <x v="0"/>
  </r>
  <r>
    <n v="26597"/>
    <x v="1"/>
    <x v="1"/>
    <n v="60000"/>
    <n v="4"/>
    <x v="0"/>
    <s v="Skilled Manual"/>
    <s v="No"/>
    <n v="2"/>
    <x v="3"/>
    <x v="1"/>
    <n v="42"/>
    <x v="0"/>
    <x v="1"/>
  </r>
  <r>
    <n v="26625"/>
    <x v="1"/>
    <x v="1"/>
    <n v="60000"/>
    <n v="0"/>
    <x v="3"/>
    <s v="Professional"/>
    <s v="Yes"/>
    <n v="1"/>
    <x v="2"/>
    <x v="1"/>
    <n v="38"/>
    <x v="0"/>
    <x v="0"/>
  </r>
  <r>
    <n v="26651"/>
    <x v="1"/>
    <x v="0"/>
    <n v="80000"/>
    <n v="4"/>
    <x v="3"/>
    <s v="Management"/>
    <s v="Yes"/>
    <n v="0"/>
    <x v="3"/>
    <x v="0"/>
    <n v="36"/>
    <x v="0"/>
    <x v="0"/>
  </r>
  <r>
    <n v="26654"/>
    <x v="0"/>
    <x v="1"/>
    <n v="90000"/>
    <n v="1"/>
    <x v="3"/>
    <s v="Management"/>
    <s v="Yes"/>
    <n v="0"/>
    <x v="3"/>
    <x v="0"/>
    <n v="37"/>
    <x v="0"/>
    <x v="0"/>
  </r>
  <r>
    <n v="26663"/>
    <x v="1"/>
    <x v="1"/>
    <n v="60000"/>
    <n v="2"/>
    <x v="0"/>
    <s v="Professional"/>
    <s v="No"/>
    <n v="1"/>
    <x v="3"/>
    <x v="0"/>
    <n v="39"/>
    <x v="0"/>
    <x v="0"/>
  </r>
  <r>
    <n v="26678"/>
    <x v="1"/>
    <x v="1"/>
    <n v="80000"/>
    <n v="2"/>
    <x v="4"/>
    <s v="Skilled Manual"/>
    <s v="Yes"/>
    <n v="2"/>
    <x v="1"/>
    <x v="1"/>
    <n v="49"/>
    <x v="0"/>
    <x v="1"/>
  </r>
  <r>
    <n v="26693"/>
    <x v="0"/>
    <x v="0"/>
    <n v="70000"/>
    <n v="3"/>
    <x v="2"/>
    <s v="Professional"/>
    <s v="Yes"/>
    <n v="1"/>
    <x v="1"/>
    <x v="1"/>
    <n v="49"/>
    <x v="0"/>
    <x v="1"/>
  </r>
  <r>
    <n v="26728"/>
    <x v="1"/>
    <x v="0"/>
    <n v="70000"/>
    <n v="3"/>
    <x v="3"/>
    <s v="Management"/>
    <s v="No"/>
    <n v="2"/>
    <x v="0"/>
    <x v="1"/>
    <n v="53"/>
    <x v="0"/>
    <x v="0"/>
  </r>
  <r>
    <n v="26757"/>
    <x v="1"/>
    <x v="0"/>
    <n v="90000"/>
    <n v="1"/>
    <x v="0"/>
    <s v="Professional"/>
    <s v="Yes"/>
    <n v="1"/>
    <x v="2"/>
    <x v="0"/>
    <n v="47"/>
    <x v="0"/>
    <x v="0"/>
  </r>
  <r>
    <n v="26765"/>
    <x v="1"/>
    <x v="1"/>
    <n v="70000"/>
    <n v="5"/>
    <x v="2"/>
    <s v="Skilled Manual"/>
    <s v="Yes"/>
    <n v="2"/>
    <x v="1"/>
    <x v="0"/>
    <n v="45"/>
    <x v="0"/>
    <x v="1"/>
  </r>
  <r>
    <n v="26778"/>
    <x v="1"/>
    <x v="1"/>
    <n v="40000"/>
    <n v="0"/>
    <x v="1"/>
    <s v="Skilled Manual"/>
    <s v="Yes"/>
    <n v="2"/>
    <x v="1"/>
    <x v="1"/>
    <n v="31"/>
    <x v="0"/>
    <x v="1"/>
  </r>
  <r>
    <n v="26796"/>
    <x v="1"/>
    <x v="0"/>
    <n v="40000"/>
    <n v="2"/>
    <x v="0"/>
    <s v="Management"/>
    <s v="Yes"/>
    <n v="2"/>
    <x v="1"/>
    <x v="0"/>
    <n v="65"/>
    <x v="1"/>
    <x v="0"/>
  </r>
  <r>
    <n v="26818"/>
    <x v="1"/>
    <x v="0"/>
    <n v="10000"/>
    <n v="3"/>
    <x v="1"/>
    <s v="Manual"/>
    <s v="Yes"/>
    <n v="1"/>
    <x v="3"/>
    <x v="2"/>
    <n v="39"/>
    <x v="0"/>
    <x v="0"/>
  </r>
  <r>
    <n v="26829"/>
    <x v="0"/>
    <x v="1"/>
    <n v="40000"/>
    <n v="0"/>
    <x v="0"/>
    <s v="Clerical"/>
    <s v="Yes"/>
    <n v="0"/>
    <x v="3"/>
    <x v="2"/>
    <n v="38"/>
    <x v="0"/>
    <x v="0"/>
  </r>
  <r>
    <n v="26849"/>
    <x v="0"/>
    <x v="0"/>
    <n v="10000"/>
    <n v="3"/>
    <x v="4"/>
    <s v="Manual"/>
    <s v="Yes"/>
    <n v="2"/>
    <x v="3"/>
    <x v="2"/>
    <n v="43"/>
    <x v="0"/>
    <x v="1"/>
  </r>
  <r>
    <n v="26852"/>
    <x v="0"/>
    <x v="1"/>
    <n v="20000"/>
    <n v="3"/>
    <x v="1"/>
    <s v="Manual"/>
    <s v="Yes"/>
    <n v="2"/>
    <x v="3"/>
    <x v="2"/>
    <n v="43"/>
    <x v="0"/>
    <x v="1"/>
  </r>
  <r>
    <n v="26863"/>
    <x v="1"/>
    <x v="0"/>
    <n v="20000"/>
    <n v="0"/>
    <x v="1"/>
    <s v="Manual"/>
    <s v="No"/>
    <n v="1"/>
    <x v="2"/>
    <x v="2"/>
    <n v="28"/>
    <x v="2"/>
    <x v="1"/>
  </r>
  <r>
    <n v="26879"/>
    <x v="1"/>
    <x v="1"/>
    <n v="20000"/>
    <n v="0"/>
    <x v="1"/>
    <s v="Manual"/>
    <s v="No"/>
    <n v="1"/>
    <x v="2"/>
    <x v="2"/>
    <n v="30"/>
    <x v="2"/>
    <x v="1"/>
  </r>
  <r>
    <n v="26886"/>
    <x v="1"/>
    <x v="1"/>
    <n v="30000"/>
    <n v="0"/>
    <x v="2"/>
    <s v="Clerical"/>
    <s v="No"/>
    <n v="1"/>
    <x v="3"/>
    <x v="2"/>
    <n v="29"/>
    <x v="2"/>
    <x v="0"/>
  </r>
  <r>
    <n v="26928"/>
    <x v="1"/>
    <x v="0"/>
    <n v="30000"/>
    <n v="1"/>
    <x v="0"/>
    <s v="Clerical"/>
    <s v="Yes"/>
    <n v="0"/>
    <x v="3"/>
    <x v="2"/>
    <n v="62"/>
    <x v="1"/>
    <x v="0"/>
  </r>
  <r>
    <n v="26941"/>
    <x v="0"/>
    <x v="0"/>
    <n v="30000"/>
    <n v="0"/>
    <x v="0"/>
    <s v="Clerical"/>
    <s v="Yes"/>
    <n v="0"/>
    <x v="3"/>
    <x v="2"/>
    <n v="47"/>
    <x v="0"/>
    <x v="0"/>
  </r>
  <r>
    <n v="26944"/>
    <x v="1"/>
    <x v="0"/>
    <n v="90000"/>
    <n v="2"/>
    <x v="1"/>
    <s v="Manual"/>
    <s v="Yes"/>
    <n v="0"/>
    <x v="3"/>
    <x v="2"/>
    <n v="36"/>
    <x v="0"/>
    <x v="0"/>
  </r>
  <r>
    <n v="26956"/>
    <x v="1"/>
    <x v="1"/>
    <n v="20000"/>
    <n v="0"/>
    <x v="2"/>
    <s v="Manual"/>
    <s v="No"/>
    <n v="1"/>
    <x v="2"/>
    <x v="2"/>
    <n v="36"/>
    <x v="0"/>
    <x v="0"/>
  </r>
  <r>
    <n v="26984"/>
    <x v="0"/>
    <x v="0"/>
    <n v="40000"/>
    <n v="1"/>
    <x v="0"/>
    <s v="Skilled Manual"/>
    <s v="Yes"/>
    <n v="1"/>
    <x v="3"/>
    <x v="2"/>
    <n v="32"/>
    <x v="0"/>
    <x v="0"/>
  </r>
  <r>
    <n v="27040"/>
    <x v="0"/>
    <x v="0"/>
    <n v="20000"/>
    <n v="2"/>
    <x v="4"/>
    <s v="Clerical"/>
    <s v="Yes"/>
    <n v="2"/>
    <x v="0"/>
    <x v="1"/>
    <n v="49"/>
    <x v="0"/>
    <x v="1"/>
  </r>
  <r>
    <n v="27074"/>
    <x v="0"/>
    <x v="1"/>
    <n v="70000"/>
    <n v="1"/>
    <x v="3"/>
    <s v="Skilled Manual"/>
    <s v="Yes"/>
    <n v="0"/>
    <x v="3"/>
    <x v="1"/>
    <n v="35"/>
    <x v="0"/>
    <x v="0"/>
  </r>
  <r>
    <n v="27090"/>
    <x v="0"/>
    <x v="1"/>
    <n v="60000"/>
    <n v="1"/>
    <x v="3"/>
    <s v="Professional"/>
    <s v="Yes"/>
    <n v="0"/>
    <x v="2"/>
    <x v="1"/>
    <n v="37"/>
    <x v="0"/>
    <x v="0"/>
  </r>
  <r>
    <n v="27165"/>
    <x v="1"/>
    <x v="0"/>
    <n v="20000"/>
    <n v="0"/>
    <x v="4"/>
    <s v="Manual"/>
    <s v="No"/>
    <n v="2"/>
    <x v="3"/>
    <x v="2"/>
    <n v="34"/>
    <x v="0"/>
    <x v="1"/>
  </r>
  <r>
    <n v="27169"/>
    <x v="1"/>
    <x v="0"/>
    <n v="30000"/>
    <n v="0"/>
    <x v="1"/>
    <s v="Manual"/>
    <s v="Yes"/>
    <n v="1"/>
    <x v="2"/>
    <x v="2"/>
    <n v="34"/>
    <x v="0"/>
    <x v="0"/>
  </r>
  <r>
    <n v="27183"/>
    <x v="1"/>
    <x v="0"/>
    <n v="40000"/>
    <n v="2"/>
    <x v="2"/>
    <s v="Clerical"/>
    <s v="Yes"/>
    <n v="1"/>
    <x v="0"/>
    <x v="2"/>
    <n v="35"/>
    <x v="0"/>
    <x v="0"/>
  </r>
  <r>
    <n v="27184"/>
    <x v="1"/>
    <x v="0"/>
    <n v="40000"/>
    <n v="2"/>
    <x v="2"/>
    <s v="Clerical"/>
    <s v="No"/>
    <n v="1"/>
    <x v="3"/>
    <x v="2"/>
    <n v="34"/>
    <x v="0"/>
    <x v="1"/>
  </r>
  <r>
    <n v="27190"/>
    <x v="0"/>
    <x v="1"/>
    <n v="40000"/>
    <n v="3"/>
    <x v="2"/>
    <s v="Clerical"/>
    <s v="Yes"/>
    <n v="1"/>
    <x v="0"/>
    <x v="1"/>
    <n v="32"/>
    <x v="0"/>
    <x v="1"/>
  </r>
  <r>
    <n v="27198"/>
    <x v="1"/>
    <x v="1"/>
    <n v="80000"/>
    <n v="0"/>
    <x v="3"/>
    <s v="Skilled Manual"/>
    <s v="No"/>
    <n v="0"/>
    <x v="3"/>
    <x v="1"/>
    <n v="40"/>
    <x v="0"/>
    <x v="1"/>
  </r>
  <r>
    <n v="27218"/>
    <x v="0"/>
    <x v="1"/>
    <n v="20000"/>
    <n v="2"/>
    <x v="4"/>
    <s v="Clerical"/>
    <s v="No"/>
    <n v="0"/>
    <x v="3"/>
    <x v="1"/>
    <n v="48"/>
    <x v="0"/>
    <x v="1"/>
  </r>
  <r>
    <n v="27261"/>
    <x v="0"/>
    <x v="0"/>
    <n v="40000"/>
    <n v="1"/>
    <x v="0"/>
    <s v="Skilled Manual"/>
    <s v="No"/>
    <n v="1"/>
    <x v="3"/>
    <x v="1"/>
    <n v="36"/>
    <x v="0"/>
    <x v="0"/>
  </r>
  <r>
    <n v="27273"/>
    <x v="1"/>
    <x v="0"/>
    <n v="70000"/>
    <n v="3"/>
    <x v="3"/>
    <s v="Professional"/>
    <s v="No"/>
    <n v="0"/>
    <x v="3"/>
    <x v="1"/>
    <n v="35"/>
    <x v="0"/>
    <x v="0"/>
  </r>
  <r>
    <n v="27279"/>
    <x v="1"/>
    <x v="1"/>
    <n v="70000"/>
    <n v="2"/>
    <x v="0"/>
    <s v="Skilled Manual"/>
    <s v="Yes"/>
    <n v="0"/>
    <x v="2"/>
    <x v="1"/>
    <n v="38"/>
    <x v="0"/>
    <x v="0"/>
  </r>
  <r>
    <n v="27304"/>
    <x v="1"/>
    <x v="1"/>
    <n v="110000"/>
    <n v="2"/>
    <x v="2"/>
    <s v="Professional"/>
    <s v="No"/>
    <n v="3"/>
    <x v="1"/>
    <x v="2"/>
    <n v="48"/>
    <x v="0"/>
    <x v="1"/>
  </r>
  <r>
    <n v="27388"/>
    <x v="0"/>
    <x v="0"/>
    <n v="60000"/>
    <n v="3"/>
    <x v="0"/>
    <s v="Management"/>
    <s v="No"/>
    <n v="2"/>
    <x v="0"/>
    <x v="1"/>
    <n v="66"/>
    <x v="1"/>
    <x v="1"/>
  </r>
  <r>
    <n v="27393"/>
    <x v="0"/>
    <x v="1"/>
    <n v="50000"/>
    <n v="4"/>
    <x v="0"/>
    <s v="Management"/>
    <s v="Yes"/>
    <n v="2"/>
    <x v="4"/>
    <x v="1"/>
    <n v="63"/>
    <x v="1"/>
    <x v="1"/>
  </r>
  <r>
    <n v="27434"/>
    <x v="1"/>
    <x v="0"/>
    <n v="70000"/>
    <n v="4"/>
    <x v="2"/>
    <s v="Professional"/>
    <s v="Yes"/>
    <n v="1"/>
    <x v="4"/>
    <x v="1"/>
    <n v="56"/>
    <x v="1"/>
    <x v="1"/>
  </r>
  <r>
    <n v="27441"/>
    <x v="0"/>
    <x v="0"/>
    <n v="60000"/>
    <n v="3"/>
    <x v="1"/>
    <s v="Professional"/>
    <s v="No"/>
    <n v="2"/>
    <x v="2"/>
    <x v="1"/>
    <n v="53"/>
    <x v="0"/>
    <x v="1"/>
  </r>
  <r>
    <n v="27494"/>
    <x v="1"/>
    <x v="1"/>
    <n v="40000"/>
    <n v="2"/>
    <x v="2"/>
    <s v="Skilled Manual"/>
    <s v="No"/>
    <n v="2"/>
    <x v="0"/>
    <x v="0"/>
    <n v="53"/>
    <x v="0"/>
    <x v="0"/>
  </r>
  <r>
    <n v="27505"/>
    <x v="1"/>
    <x v="1"/>
    <n v="40000"/>
    <n v="0"/>
    <x v="1"/>
    <s v="Skilled Manual"/>
    <s v="Yes"/>
    <n v="2"/>
    <x v="1"/>
    <x v="1"/>
    <n v="30"/>
    <x v="2"/>
    <x v="1"/>
  </r>
  <r>
    <n v="27540"/>
    <x v="1"/>
    <x v="1"/>
    <n v="70000"/>
    <n v="0"/>
    <x v="0"/>
    <s v="Professional"/>
    <s v="No"/>
    <n v="1"/>
    <x v="3"/>
    <x v="1"/>
    <n v="37"/>
    <x v="0"/>
    <x v="0"/>
  </r>
  <r>
    <n v="27582"/>
    <x v="1"/>
    <x v="1"/>
    <n v="90000"/>
    <n v="2"/>
    <x v="0"/>
    <s v="Professional"/>
    <s v="No"/>
    <n v="0"/>
    <x v="3"/>
    <x v="0"/>
    <n v="36"/>
    <x v="0"/>
    <x v="0"/>
  </r>
  <r>
    <n v="27585"/>
    <x v="0"/>
    <x v="1"/>
    <n v="90000"/>
    <n v="2"/>
    <x v="0"/>
    <s v="Professional"/>
    <s v="No"/>
    <n v="0"/>
    <x v="3"/>
    <x v="0"/>
    <n v="36"/>
    <x v="0"/>
    <x v="0"/>
  </r>
  <r>
    <n v="27637"/>
    <x v="1"/>
    <x v="1"/>
    <n v="100000"/>
    <n v="1"/>
    <x v="2"/>
    <s v="Professional"/>
    <s v="No"/>
    <n v="3"/>
    <x v="0"/>
    <x v="1"/>
    <n v="44"/>
    <x v="0"/>
    <x v="1"/>
  </r>
  <r>
    <n v="27638"/>
    <x v="1"/>
    <x v="0"/>
    <n v="100000"/>
    <n v="1"/>
    <x v="2"/>
    <s v="Professional"/>
    <s v="No"/>
    <n v="3"/>
    <x v="0"/>
    <x v="1"/>
    <n v="44"/>
    <x v="0"/>
    <x v="1"/>
  </r>
  <r>
    <n v="27643"/>
    <x v="1"/>
    <x v="0"/>
    <n v="70000"/>
    <n v="5"/>
    <x v="2"/>
    <s v="Professional"/>
    <s v="Yes"/>
    <n v="3"/>
    <x v="2"/>
    <x v="1"/>
    <n v="44"/>
    <x v="0"/>
    <x v="1"/>
  </r>
  <r>
    <n v="27650"/>
    <x v="0"/>
    <x v="0"/>
    <n v="70000"/>
    <n v="4"/>
    <x v="1"/>
    <s v="Professional"/>
    <s v="Yes"/>
    <n v="0"/>
    <x v="1"/>
    <x v="1"/>
    <n v="51"/>
    <x v="0"/>
    <x v="1"/>
  </r>
  <r>
    <n v="27660"/>
    <x v="0"/>
    <x v="0"/>
    <n v="80000"/>
    <n v="4"/>
    <x v="3"/>
    <s v="Management"/>
    <s v="Yes"/>
    <n v="2"/>
    <x v="1"/>
    <x v="1"/>
    <n v="70"/>
    <x v="1"/>
    <x v="1"/>
  </r>
  <r>
    <n v="27673"/>
    <x v="1"/>
    <x v="1"/>
    <n v="60000"/>
    <n v="3"/>
    <x v="3"/>
    <s v="Management"/>
    <s v="Yes"/>
    <n v="2"/>
    <x v="1"/>
    <x v="1"/>
    <n v="53"/>
    <x v="0"/>
    <x v="0"/>
  </r>
  <r>
    <n v="27696"/>
    <x v="0"/>
    <x v="0"/>
    <n v="60000"/>
    <n v="1"/>
    <x v="0"/>
    <s v="Professional"/>
    <s v="Yes"/>
    <n v="1"/>
    <x v="1"/>
    <x v="0"/>
    <n v="43"/>
    <x v="0"/>
    <x v="0"/>
  </r>
  <r>
    <n v="27731"/>
    <x v="0"/>
    <x v="0"/>
    <n v="40000"/>
    <n v="0"/>
    <x v="1"/>
    <s v="Skilled Manual"/>
    <s v="Yes"/>
    <n v="2"/>
    <x v="1"/>
    <x v="1"/>
    <n v="27"/>
    <x v="2"/>
    <x v="1"/>
  </r>
  <r>
    <n v="27740"/>
    <x v="0"/>
    <x v="1"/>
    <n v="40000"/>
    <n v="0"/>
    <x v="1"/>
    <s v="Skilled Manual"/>
    <s v="Yes"/>
    <n v="2"/>
    <x v="1"/>
    <x v="1"/>
    <n v="27"/>
    <x v="2"/>
    <x v="1"/>
  </r>
  <r>
    <n v="27745"/>
    <x v="1"/>
    <x v="0"/>
    <n v="40000"/>
    <n v="2"/>
    <x v="0"/>
    <s v="Management"/>
    <s v="Yes"/>
    <n v="2"/>
    <x v="1"/>
    <x v="0"/>
    <n v="63"/>
    <x v="1"/>
    <x v="0"/>
  </r>
  <r>
    <n v="27753"/>
    <x v="0"/>
    <x v="0"/>
    <n v="40000"/>
    <n v="0"/>
    <x v="1"/>
    <s v="Skilled Manual"/>
    <s v="No"/>
    <n v="2"/>
    <x v="0"/>
    <x v="1"/>
    <n v="30"/>
    <x v="2"/>
    <x v="1"/>
  </r>
  <r>
    <n v="27756"/>
    <x v="1"/>
    <x v="1"/>
    <n v="50000"/>
    <n v="3"/>
    <x v="0"/>
    <s v="Skilled Manual"/>
    <s v="No"/>
    <n v="1"/>
    <x v="3"/>
    <x v="1"/>
    <n v="40"/>
    <x v="0"/>
    <x v="1"/>
  </r>
  <r>
    <n v="27760"/>
    <x v="1"/>
    <x v="1"/>
    <n v="40000"/>
    <n v="0"/>
    <x v="3"/>
    <s v="Clerical"/>
    <s v="No"/>
    <n v="0"/>
    <x v="3"/>
    <x v="2"/>
    <n v="37"/>
    <x v="0"/>
    <x v="0"/>
  </r>
  <r>
    <n v="27771"/>
    <x v="1"/>
    <x v="0"/>
    <n v="30000"/>
    <n v="1"/>
    <x v="0"/>
    <s v="Clerical"/>
    <s v="Yes"/>
    <n v="1"/>
    <x v="0"/>
    <x v="2"/>
    <n v="39"/>
    <x v="0"/>
    <x v="0"/>
  </r>
  <r>
    <n v="27775"/>
    <x v="1"/>
    <x v="1"/>
    <n v="40000"/>
    <n v="0"/>
    <x v="0"/>
    <s v="Clerical"/>
    <s v="No"/>
    <n v="0"/>
    <x v="3"/>
    <x v="2"/>
    <n v="38"/>
    <x v="0"/>
    <x v="0"/>
  </r>
  <r>
    <n v="27803"/>
    <x v="1"/>
    <x v="1"/>
    <n v="30000"/>
    <n v="2"/>
    <x v="2"/>
    <s v="Clerical"/>
    <s v="No"/>
    <n v="0"/>
    <x v="3"/>
    <x v="2"/>
    <n v="43"/>
    <x v="0"/>
    <x v="1"/>
  </r>
  <r>
    <n v="27814"/>
    <x v="1"/>
    <x v="1"/>
    <n v="30000"/>
    <n v="3"/>
    <x v="2"/>
    <s v="Clerical"/>
    <s v="No"/>
    <n v="1"/>
    <x v="3"/>
    <x v="2"/>
    <n v="26"/>
    <x v="2"/>
    <x v="1"/>
  </r>
  <r>
    <n v="27824"/>
    <x v="1"/>
    <x v="1"/>
    <n v="30000"/>
    <n v="3"/>
    <x v="2"/>
    <s v="Clerical"/>
    <s v="Yes"/>
    <n v="2"/>
    <x v="3"/>
    <x v="2"/>
    <n v="28"/>
    <x v="2"/>
    <x v="0"/>
  </r>
  <r>
    <n v="27832"/>
    <x v="1"/>
    <x v="1"/>
    <n v="30000"/>
    <n v="0"/>
    <x v="2"/>
    <s v="Clerical"/>
    <s v="No"/>
    <n v="1"/>
    <x v="2"/>
    <x v="2"/>
    <n v="30"/>
    <x v="2"/>
    <x v="1"/>
  </r>
  <r>
    <n v="27835"/>
    <x v="0"/>
    <x v="0"/>
    <n v="20000"/>
    <n v="0"/>
    <x v="4"/>
    <s v="Manual"/>
    <s v="Yes"/>
    <n v="2"/>
    <x v="3"/>
    <x v="2"/>
    <n v="32"/>
    <x v="0"/>
    <x v="1"/>
  </r>
  <r>
    <n v="27878"/>
    <x v="1"/>
    <x v="0"/>
    <n v="20000"/>
    <n v="0"/>
    <x v="2"/>
    <s v="Manual"/>
    <s v="No"/>
    <n v="0"/>
    <x v="3"/>
    <x v="0"/>
    <n v="28"/>
    <x v="2"/>
    <x v="0"/>
  </r>
  <r>
    <n v="27941"/>
    <x v="0"/>
    <x v="1"/>
    <n v="80000"/>
    <n v="4"/>
    <x v="2"/>
    <s v="Professional"/>
    <s v="Yes"/>
    <n v="2"/>
    <x v="2"/>
    <x v="2"/>
    <n v="53"/>
    <x v="0"/>
    <x v="1"/>
  </r>
  <r>
    <n v="27951"/>
    <x v="1"/>
    <x v="0"/>
    <n v="80000"/>
    <n v="4"/>
    <x v="2"/>
    <s v="Professional"/>
    <s v="No"/>
    <n v="2"/>
    <x v="2"/>
    <x v="2"/>
    <n v="54"/>
    <x v="1"/>
    <x v="0"/>
  </r>
  <r>
    <n v="27969"/>
    <x v="0"/>
    <x v="0"/>
    <n v="80000"/>
    <n v="0"/>
    <x v="0"/>
    <s v="Professional"/>
    <s v="Yes"/>
    <n v="2"/>
    <x v="4"/>
    <x v="0"/>
    <n v="29"/>
    <x v="2"/>
    <x v="0"/>
  </r>
  <r>
    <n v="27974"/>
    <x v="1"/>
    <x v="0"/>
    <n v="160000"/>
    <n v="2"/>
    <x v="1"/>
    <s v="Management"/>
    <s v="Yes"/>
    <n v="4"/>
    <x v="3"/>
    <x v="0"/>
    <n v="33"/>
    <x v="0"/>
    <x v="0"/>
  </r>
  <r>
    <n v="27994"/>
    <x v="0"/>
    <x v="1"/>
    <n v="40000"/>
    <n v="4"/>
    <x v="1"/>
    <s v="Professional"/>
    <s v="Yes"/>
    <n v="2"/>
    <x v="1"/>
    <x v="1"/>
    <n v="69"/>
    <x v="1"/>
    <x v="1"/>
  </r>
  <r>
    <n v="28004"/>
    <x v="0"/>
    <x v="1"/>
    <n v="60000"/>
    <n v="3"/>
    <x v="0"/>
    <s v="Management"/>
    <s v="Yes"/>
    <n v="2"/>
    <x v="4"/>
    <x v="1"/>
    <n v="66"/>
    <x v="1"/>
    <x v="1"/>
  </r>
  <r>
    <n v="28026"/>
    <x v="0"/>
    <x v="1"/>
    <n v="40000"/>
    <n v="2"/>
    <x v="1"/>
    <s v="Professional"/>
    <s v="No"/>
    <n v="2"/>
    <x v="2"/>
    <x v="1"/>
    <n v="59"/>
    <x v="1"/>
    <x v="1"/>
  </r>
  <r>
    <n v="28031"/>
    <x v="1"/>
    <x v="1"/>
    <n v="70000"/>
    <n v="2"/>
    <x v="0"/>
    <s v="Management"/>
    <s v="No"/>
    <n v="1"/>
    <x v="2"/>
    <x v="1"/>
    <n v="59"/>
    <x v="1"/>
    <x v="0"/>
  </r>
  <r>
    <n v="28043"/>
    <x v="0"/>
    <x v="1"/>
    <n v="60000"/>
    <n v="2"/>
    <x v="0"/>
    <s v="Management"/>
    <s v="Yes"/>
    <n v="0"/>
    <x v="4"/>
    <x v="1"/>
    <n v="56"/>
    <x v="1"/>
    <x v="1"/>
  </r>
  <r>
    <n v="28052"/>
    <x v="0"/>
    <x v="0"/>
    <n v="60000"/>
    <n v="2"/>
    <x v="1"/>
    <s v="Professional"/>
    <s v="Yes"/>
    <n v="2"/>
    <x v="4"/>
    <x v="1"/>
    <n v="55"/>
    <x v="1"/>
    <x v="1"/>
  </r>
  <r>
    <n v="28056"/>
    <x v="0"/>
    <x v="0"/>
    <n v="70000"/>
    <n v="2"/>
    <x v="4"/>
    <s v="Skilled Manual"/>
    <s v="Yes"/>
    <n v="2"/>
    <x v="4"/>
    <x v="1"/>
    <n v="53"/>
    <x v="0"/>
    <x v="1"/>
  </r>
  <r>
    <n v="28066"/>
    <x v="0"/>
    <x v="0"/>
    <n v="80000"/>
    <n v="2"/>
    <x v="3"/>
    <s v="Professional"/>
    <s v="Yes"/>
    <n v="0"/>
    <x v="3"/>
    <x v="1"/>
    <n v="37"/>
    <x v="0"/>
    <x v="0"/>
  </r>
  <r>
    <n v="28068"/>
    <x v="1"/>
    <x v="1"/>
    <n v="80000"/>
    <n v="3"/>
    <x v="3"/>
    <s v="Professional"/>
    <s v="No"/>
    <n v="0"/>
    <x v="3"/>
    <x v="1"/>
    <n v="36"/>
    <x v="0"/>
    <x v="0"/>
  </r>
  <r>
    <n v="28087"/>
    <x v="1"/>
    <x v="1"/>
    <n v="40000"/>
    <n v="0"/>
    <x v="2"/>
    <s v="Skilled Manual"/>
    <s v="No"/>
    <n v="1"/>
    <x v="0"/>
    <x v="1"/>
    <n v="27"/>
    <x v="2"/>
    <x v="1"/>
  </r>
  <r>
    <n v="28090"/>
    <x v="0"/>
    <x v="0"/>
    <n v="40000"/>
    <n v="0"/>
    <x v="2"/>
    <s v="Skilled Manual"/>
    <s v="Yes"/>
    <n v="1"/>
    <x v="1"/>
    <x v="1"/>
    <n v="27"/>
    <x v="2"/>
    <x v="1"/>
  </r>
  <r>
    <n v="28102"/>
    <x v="0"/>
    <x v="0"/>
    <n v="20000"/>
    <n v="4"/>
    <x v="1"/>
    <s v="Skilled Manual"/>
    <s v="Yes"/>
    <n v="2"/>
    <x v="1"/>
    <x v="0"/>
    <n v="58"/>
    <x v="1"/>
    <x v="0"/>
  </r>
  <r>
    <n v="28192"/>
    <x v="0"/>
    <x v="1"/>
    <n v="70000"/>
    <n v="5"/>
    <x v="3"/>
    <s v="Professional"/>
    <s v="Yes"/>
    <n v="3"/>
    <x v="4"/>
    <x v="1"/>
    <n v="46"/>
    <x v="0"/>
    <x v="1"/>
  </r>
  <r>
    <n v="28207"/>
    <x v="0"/>
    <x v="0"/>
    <n v="80000"/>
    <n v="4"/>
    <x v="3"/>
    <s v="Management"/>
    <s v="Yes"/>
    <n v="1"/>
    <x v="3"/>
    <x v="0"/>
    <n v="36"/>
    <x v="0"/>
    <x v="0"/>
  </r>
  <r>
    <n v="28228"/>
    <x v="1"/>
    <x v="1"/>
    <n v="80000"/>
    <n v="2"/>
    <x v="4"/>
    <s v="Skilled Manual"/>
    <s v="No"/>
    <n v="2"/>
    <x v="0"/>
    <x v="1"/>
    <n v="50"/>
    <x v="0"/>
    <x v="1"/>
  </r>
  <r>
    <n v="28269"/>
    <x v="1"/>
    <x v="1"/>
    <n v="130000"/>
    <n v="1"/>
    <x v="0"/>
    <s v="Management"/>
    <s v="No"/>
    <n v="1"/>
    <x v="2"/>
    <x v="1"/>
    <n v="45"/>
    <x v="0"/>
    <x v="1"/>
  </r>
  <r>
    <n v="28278"/>
    <x v="0"/>
    <x v="0"/>
    <n v="50000"/>
    <n v="2"/>
    <x v="3"/>
    <s v="Management"/>
    <s v="Yes"/>
    <n v="2"/>
    <x v="1"/>
    <x v="1"/>
    <n v="71"/>
    <x v="1"/>
    <x v="1"/>
  </r>
  <r>
    <n v="28319"/>
    <x v="1"/>
    <x v="1"/>
    <n v="60000"/>
    <n v="1"/>
    <x v="2"/>
    <s v="Skilled Manual"/>
    <s v="No"/>
    <n v="1"/>
    <x v="3"/>
    <x v="0"/>
    <n v="46"/>
    <x v="0"/>
    <x v="0"/>
  </r>
  <r>
    <n v="28323"/>
    <x v="1"/>
    <x v="0"/>
    <n v="70000"/>
    <n v="0"/>
    <x v="0"/>
    <s v="Professional"/>
    <s v="No"/>
    <n v="2"/>
    <x v="1"/>
    <x v="0"/>
    <n v="43"/>
    <x v="0"/>
    <x v="0"/>
  </r>
  <r>
    <n v="28379"/>
    <x v="0"/>
    <x v="0"/>
    <n v="30000"/>
    <n v="1"/>
    <x v="0"/>
    <s v="Skilled Manual"/>
    <s v="Yes"/>
    <n v="2"/>
    <x v="3"/>
    <x v="2"/>
    <n v="40"/>
    <x v="0"/>
    <x v="1"/>
  </r>
  <r>
    <n v="28380"/>
    <x v="1"/>
    <x v="1"/>
    <n v="10000"/>
    <n v="5"/>
    <x v="4"/>
    <s v="Manual"/>
    <s v="No"/>
    <n v="2"/>
    <x v="3"/>
    <x v="2"/>
    <n v="41"/>
    <x v="0"/>
    <x v="1"/>
  </r>
  <r>
    <n v="28395"/>
    <x v="1"/>
    <x v="0"/>
    <n v="40000"/>
    <n v="0"/>
    <x v="0"/>
    <s v="Professional"/>
    <s v="No"/>
    <n v="0"/>
    <x v="3"/>
    <x v="2"/>
    <n v="39"/>
    <x v="0"/>
    <x v="0"/>
  </r>
  <r>
    <n v="28412"/>
    <x v="1"/>
    <x v="0"/>
    <n v="20000"/>
    <n v="0"/>
    <x v="1"/>
    <s v="Manual"/>
    <s v="No"/>
    <n v="1"/>
    <x v="2"/>
    <x v="2"/>
    <n v="29"/>
    <x v="2"/>
    <x v="1"/>
  </r>
  <r>
    <n v="28436"/>
    <x v="1"/>
    <x v="0"/>
    <n v="30000"/>
    <n v="0"/>
    <x v="2"/>
    <s v="Clerical"/>
    <s v="No"/>
    <n v="1"/>
    <x v="3"/>
    <x v="2"/>
    <n v="30"/>
    <x v="2"/>
    <x v="0"/>
  </r>
  <r>
    <n v="28468"/>
    <x v="0"/>
    <x v="1"/>
    <n v="10000"/>
    <n v="2"/>
    <x v="2"/>
    <s v="Manual"/>
    <s v="Yes"/>
    <n v="0"/>
    <x v="0"/>
    <x v="2"/>
    <n v="51"/>
    <x v="0"/>
    <x v="1"/>
  </r>
  <r>
    <n v="28488"/>
    <x v="1"/>
    <x v="0"/>
    <n v="20000"/>
    <n v="0"/>
    <x v="2"/>
    <s v="Manual"/>
    <s v="Yes"/>
    <n v="0"/>
    <x v="3"/>
    <x v="0"/>
    <n v="28"/>
    <x v="2"/>
    <x v="0"/>
  </r>
  <r>
    <n v="28521"/>
    <x v="1"/>
    <x v="0"/>
    <n v="40000"/>
    <n v="0"/>
    <x v="3"/>
    <s v="Clerical"/>
    <s v="No"/>
    <n v="0"/>
    <x v="3"/>
    <x v="2"/>
    <n v="36"/>
    <x v="0"/>
    <x v="0"/>
  </r>
  <r>
    <n v="28564"/>
    <x v="1"/>
    <x v="1"/>
    <n v="40000"/>
    <n v="2"/>
    <x v="2"/>
    <s v="Clerical"/>
    <s v="Yes"/>
    <n v="0"/>
    <x v="0"/>
    <x v="2"/>
    <n v="33"/>
    <x v="0"/>
    <x v="0"/>
  </r>
  <r>
    <n v="28580"/>
    <x v="0"/>
    <x v="1"/>
    <n v="80000"/>
    <n v="0"/>
    <x v="3"/>
    <s v="Skilled Manual"/>
    <s v="Yes"/>
    <n v="0"/>
    <x v="0"/>
    <x v="1"/>
    <n v="40"/>
    <x v="0"/>
    <x v="0"/>
  </r>
  <r>
    <n v="28609"/>
    <x v="0"/>
    <x v="0"/>
    <n v="30000"/>
    <n v="2"/>
    <x v="1"/>
    <s v="Skilled Manual"/>
    <s v="No"/>
    <n v="2"/>
    <x v="3"/>
    <x v="1"/>
    <n v="49"/>
    <x v="0"/>
    <x v="1"/>
  </r>
  <r>
    <n v="28625"/>
    <x v="1"/>
    <x v="0"/>
    <n v="40000"/>
    <n v="2"/>
    <x v="2"/>
    <s v="Clerical"/>
    <s v="No"/>
    <n v="1"/>
    <x v="0"/>
    <x v="1"/>
    <n v="47"/>
    <x v="0"/>
    <x v="0"/>
  </r>
  <r>
    <n v="28657"/>
    <x v="1"/>
    <x v="0"/>
    <n v="60000"/>
    <n v="2"/>
    <x v="0"/>
    <s v="Skilled Manual"/>
    <s v="Yes"/>
    <n v="0"/>
    <x v="2"/>
    <x v="1"/>
    <n v="36"/>
    <x v="0"/>
    <x v="0"/>
  </r>
  <r>
    <n v="28667"/>
    <x v="1"/>
    <x v="0"/>
    <n v="70000"/>
    <n v="2"/>
    <x v="0"/>
    <s v="Skilled Manual"/>
    <s v="No"/>
    <n v="1"/>
    <x v="3"/>
    <x v="1"/>
    <n v="37"/>
    <x v="0"/>
    <x v="0"/>
  </r>
  <r>
    <n v="28672"/>
    <x v="1"/>
    <x v="0"/>
    <n v="70000"/>
    <n v="4"/>
    <x v="3"/>
    <s v="Professional"/>
    <s v="Yes"/>
    <n v="0"/>
    <x v="2"/>
    <x v="1"/>
    <n v="35"/>
    <x v="0"/>
    <x v="0"/>
  </r>
  <r>
    <n v="28683"/>
    <x v="1"/>
    <x v="1"/>
    <n v="10000"/>
    <n v="1"/>
    <x v="1"/>
    <s v="Manual"/>
    <s v="No"/>
    <n v="1"/>
    <x v="1"/>
    <x v="2"/>
    <n v="35"/>
    <x v="0"/>
    <x v="0"/>
  </r>
  <r>
    <n v="28729"/>
    <x v="1"/>
    <x v="1"/>
    <n v="20000"/>
    <n v="0"/>
    <x v="4"/>
    <s v="Manual"/>
    <s v="Yes"/>
    <n v="2"/>
    <x v="0"/>
    <x v="2"/>
    <n v="26"/>
    <x v="2"/>
    <x v="0"/>
  </r>
  <r>
    <n v="28758"/>
    <x v="0"/>
    <x v="0"/>
    <n v="40000"/>
    <n v="2"/>
    <x v="2"/>
    <s v="Clerical"/>
    <s v="Yes"/>
    <n v="1"/>
    <x v="0"/>
    <x v="2"/>
    <n v="35"/>
    <x v="0"/>
    <x v="0"/>
  </r>
  <r>
    <n v="28799"/>
    <x v="1"/>
    <x v="1"/>
    <n v="40000"/>
    <n v="2"/>
    <x v="2"/>
    <s v="Clerical"/>
    <s v="No"/>
    <n v="1"/>
    <x v="0"/>
    <x v="1"/>
    <n v="47"/>
    <x v="0"/>
    <x v="0"/>
  </r>
  <r>
    <n v="28815"/>
    <x v="0"/>
    <x v="1"/>
    <n v="50000"/>
    <n v="1"/>
    <x v="3"/>
    <s v="Skilled Manual"/>
    <s v="Yes"/>
    <n v="0"/>
    <x v="3"/>
    <x v="1"/>
    <n v="35"/>
    <x v="0"/>
    <x v="1"/>
  </r>
  <r>
    <n v="28858"/>
    <x v="1"/>
    <x v="0"/>
    <n v="80000"/>
    <n v="3"/>
    <x v="0"/>
    <s v="Skilled Manual"/>
    <s v="Yes"/>
    <n v="0"/>
    <x v="2"/>
    <x v="1"/>
    <n v="40"/>
    <x v="0"/>
    <x v="1"/>
  </r>
  <r>
    <n v="28906"/>
    <x v="0"/>
    <x v="0"/>
    <n v="80000"/>
    <n v="4"/>
    <x v="1"/>
    <s v="Professional"/>
    <s v="Yes"/>
    <n v="2"/>
    <x v="4"/>
    <x v="2"/>
    <n v="54"/>
    <x v="1"/>
    <x v="1"/>
  </r>
  <r>
    <n v="28915"/>
    <x v="1"/>
    <x v="0"/>
    <n v="80000"/>
    <n v="5"/>
    <x v="1"/>
    <s v="Management"/>
    <s v="Yes"/>
    <n v="3"/>
    <x v="4"/>
    <x v="2"/>
    <n v="57"/>
    <x v="1"/>
    <x v="1"/>
  </r>
  <r>
    <n v="28918"/>
    <x v="0"/>
    <x v="1"/>
    <n v="130000"/>
    <n v="4"/>
    <x v="1"/>
    <s v="Management"/>
    <s v="No"/>
    <n v="4"/>
    <x v="4"/>
    <x v="2"/>
    <n v="58"/>
    <x v="1"/>
    <x v="1"/>
  </r>
  <r>
    <n v="28957"/>
    <x v="1"/>
    <x v="1"/>
    <n v="120000"/>
    <n v="0"/>
    <x v="4"/>
    <s v="Professional"/>
    <s v="Yes"/>
    <n v="4"/>
    <x v="4"/>
    <x v="0"/>
    <n v="34"/>
    <x v="0"/>
    <x v="0"/>
  </r>
  <r>
    <n v="28972"/>
    <x v="1"/>
    <x v="1"/>
    <n v="60000"/>
    <n v="3"/>
    <x v="3"/>
    <s v="Management"/>
    <s v="Yes"/>
    <n v="2"/>
    <x v="4"/>
    <x v="1"/>
    <n v="66"/>
    <x v="1"/>
    <x v="1"/>
  </r>
  <r>
    <n v="28997"/>
    <x v="1"/>
    <x v="0"/>
    <n v="40000"/>
    <n v="2"/>
    <x v="1"/>
    <s v="Professional"/>
    <s v="No"/>
    <n v="1"/>
    <x v="2"/>
    <x v="1"/>
    <n v="58"/>
    <x v="1"/>
    <x v="0"/>
  </r>
  <r>
    <n v="29030"/>
    <x v="0"/>
    <x v="0"/>
    <n v="70000"/>
    <n v="2"/>
    <x v="4"/>
    <s v="Skilled Manual"/>
    <s v="Yes"/>
    <n v="2"/>
    <x v="4"/>
    <x v="1"/>
    <n v="54"/>
    <x v="1"/>
    <x v="1"/>
  </r>
  <r>
    <n v="29037"/>
    <x v="0"/>
    <x v="0"/>
    <n v="60000"/>
    <n v="0"/>
    <x v="3"/>
    <s v="Professional"/>
    <s v="No"/>
    <n v="0"/>
    <x v="3"/>
    <x v="1"/>
    <n v="39"/>
    <x v="0"/>
    <x v="1"/>
  </r>
  <r>
    <n v="29048"/>
    <x v="1"/>
    <x v="0"/>
    <n v="110000"/>
    <n v="2"/>
    <x v="0"/>
    <s v="Management"/>
    <s v="No"/>
    <n v="3"/>
    <x v="3"/>
    <x v="1"/>
    <n v="37"/>
    <x v="0"/>
    <x v="0"/>
  </r>
  <r>
    <n v="29052"/>
    <x v="1"/>
    <x v="0"/>
    <n v="40000"/>
    <n v="0"/>
    <x v="2"/>
    <s v="Skilled Manual"/>
    <s v="Yes"/>
    <n v="1"/>
    <x v="1"/>
    <x v="1"/>
    <n v="27"/>
    <x v="2"/>
    <x v="1"/>
  </r>
  <r>
    <n v="29094"/>
    <x v="0"/>
    <x v="0"/>
    <n v="30000"/>
    <n v="3"/>
    <x v="1"/>
    <s v="Skilled Manual"/>
    <s v="Yes"/>
    <n v="2"/>
    <x v="1"/>
    <x v="0"/>
    <n v="54"/>
    <x v="1"/>
    <x v="0"/>
  </r>
  <r>
    <n v="29097"/>
    <x v="1"/>
    <x v="1"/>
    <n v="40000"/>
    <n v="2"/>
    <x v="2"/>
    <s v="Skilled Manual"/>
    <s v="Yes"/>
    <n v="2"/>
    <x v="1"/>
    <x v="0"/>
    <n v="52"/>
    <x v="0"/>
    <x v="0"/>
  </r>
  <r>
    <n v="29106"/>
    <x v="1"/>
    <x v="0"/>
    <n v="40000"/>
    <n v="0"/>
    <x v="1"/>
    <s v="Skilled Manual"/>
    <s v="No"/>
    <n v="2"/>
    <x v="0"/>
    <x v="1"/>
    <n v="31"/>
    <x v="0"/>
    <x v="0"/>
  </r>
  <r>
    <n v="29112"/>
    <x v="1"/>
    <x v="0"/>
    <n v="60000"/>
    <n v="0"/>
    <x v="2"/>
    <s v="Professional"/>
    <s v="No"/>
    <n v="2"/>
    <x v="0"/>
    <x v="1"/>
    <n v="30"/>
    <x v="2"/>
    <x v="1"/>
  </r>
  <r>
    <n v="29117"/>
    <x v="1"/>
    <x v="0"/>
    <n v="100000"/>
    <n v="1"/>
    <x v="0"/>
    <s v="Management"/>
    <s v="No"/>
    <n v="3"/>
    <x v="3"/>
    <x v="0"/>
    <n v="48"/>
    <x v="0"/>
    <x v="1"/>
  </r>
  <r>
    <n v="29120"/>
    <x v="1"/>
    <x v="1"/>
    <n v="100000"/>
    <n v="1"/>
    <x v="0"/>
    <s v="Management"/>
    <s v="Yes"/>
    <n v="4"/>
    <x v="2"/>
    <x v="0"/>
    <n v="48"/>
    <x v="0"/>
    <x v="1"/>
  </r>
  <r>
    <n v="29132"/>
    <x v="1"/>
    <x v="1"/>
    <n v="40000"/>
    <n v="0"/>
    <x v="0"/>
    <s v="Professional"/>
    <s v="Yes"/>
    <n v="1"/>
    <x v="2"/>
    <x v="1"/>
    <n v="42"/>
    <x v="0"/>
    <x v="0"/>
  </r>
  <r>
    <n v="29133"/>
    <x v="1"/>
    <x v="1"/>
    <n v="60000"/>
    <n v="4"/>
    <x v="0"/>
    <s v="Skilled Manual"/>
    <s v="No"/>
    <n v="2"/>
    <x v="3"/>
    <x v="1"/>
    <n v="42"/>
    <x v="0"/>
    <x v="1"/>
  </r>
  <r>
    <n v="29134"/>
    <x v="0"/>
    <x v="0"/>
    <n v="60000"/>
    <n v="4"/>
    <x v="0"/>
    <s v="Skilled Manual"/>
    <s v="No"/>
    <n v="3"/>
    <x v="4"/>
    <x v="1"/>
    <n v="42"/>
    <x v="0"/>
    <x v="1"/>
  </r>
  <r>
    <n v="29143"/>
    <x v="1"/>
    <x v="1"/>
    <n v="60000"/>
    <n v="1"/>
    <x v="0"/>
    <s v="Professional"/>
    <s v="No"/>
    <n v="1"/>
    <x v="3"/>
    <x v="1"/>
    <n v="44"/>
    <x v="0"/>
    <x v="0"/>
  </r>
  <r>
    <n v="29181"/>
    <x v="1"/>
    <x v="1"/>
    <n v="60000"/>
    <n v="2"/>
    <x v="0"/>
    <s v="Professional"/>
    <s v="No"/>
    <n v="1"/>
    <x v="3"/>
    <x v="0"/>
    <n v="38"/>
    <x v="0"/>
    <x v="0"/>
  </r>
  <r>
    <n v="29191"/>
    <x v="1"/>
    <x v="1"/>
    <n v="130000"/>
    <n v="1"/>
    <x v="3"/>
    <s v="Management"/>
    <s v="No"/>
    <n v="1"/>
    <x v="3"/>
    <x v="0"/>
    <n v="36"/>
    <x v="0"/>
    <x v="0"/>
  </r>
  <r>
    <n v="29231"/>
    <x v="1"/>
    <x v="0"/>
    <n v="80000"/>
    <n v="4"/>
    <x v="2"/>
    <s v="Professional"/>
    <s v="No"/>
    <n v="2"/>
    <x v="3"/>
    <x v="1"/>
    <n v="43"/>
    <x v="0"/>
    <x v="1"/>
  </r>
  <r>
    <n v="29237"/>
    <x v="1"/>
    <x v="1"/>
    <n v="120000"/>
    <n v="4"/>
    <x v="2"/>
    <s v="Professional"/>
    <s v="Yes"/>
    <n v="3"/>
    <x v="1"/>
    <x v="1"/>
    <n v="43"/>
    <x v="0"/>
    <x v="0"/>
  </r>
  <r>
    <n v="29243"/>
    <x v="1"/>
    <x v="0"/>
    <n v="110000"/>
    <n v="1"/>
    <x v="0"/>
    <s v="Management"/>
    <s v="Yes"/>
    <n v="1"/>
    <x v="1"/>
    <x v="1"/>
    <n v="43"/>
    <x v="0"/>
    <x v="1"/>
  </r>
  <r>
    <n v="29255"/>
    <x v="1"/>
    <x v="0"/>
    <n v="80000"/>
    <n v="3"/>
    <x v="2"/>
    <s v="Professional"/>
    <s v="No"/>
    <n v="1"/>
    <x v="0"/>
    <x v="1"/>
    <n v="51"/>
    <x v="0"/>
    <x v="0"/>
  </r>
  <r>
    <n v="29298"/>
    <x v="1"/>
    <x v="1"/>
    <n v="60000"/>
    <n v="1"/>
    <x v="2"/>
    <s v="Skilled Manual"/>
    <s v="Yes"/>
    <n v="1"/>
    <x v="1"/>
    <x v="0"/>
    <n v="46"/>
    <x v="0"/>
    <x v="0"/>
  </r>
  <r>
    <n v="29301"/>
    <x v="0"/>
    <x v="0"/>
    <n v="80000"/>
    <n v="5"/>
    <x v="0"/>
    <s v="Professional"/>
    <s v="Yes"/>
    <n v="4"/>
    <x v="0"/>
    <x v="0"/>
    <n v="40"/>
    <x v="0"/>
    <x v="1"/>
  </r>
  <r>
    <n v="29337"/>
    <x v="1"/>
    <x v="0"/>
    <n v="30000"/>
    <n v="2"/>
    <x v="2"/>
    <s v="Clerical"/>
    <s v="Yes"/>
    <n v="2"/>
    <x v="1"/>
    <x v="0"/>
    <n v="68"/>
    <x v="1"/>
    <x v="1"/>
  </r>
  <r>
    <n v="29355"/>
    <x v="0"/>
    <x v="1"/>
    <n v="40000"/>
    <n v="0"/>
    <x v="3"/>
    <s v="Clerical"/>
    <s v="Yes"/>
    <n v="0"/>
    <x v="3"/>
    <x v="2"/>
    <n v="37"/>
    <x v="0"/>
    <x v="0"/>
  </r>
  <r>
    <n v="29380"/>
    <x v="0"/>
    <x v="1"/>
    <n v="20000"/>
    <n v="3"/>
    <x v="1"/>
    <s v="Manual"/>
    <s v="Yes"/>
    <n v="0"/>
    <x v="3"/>
    <x v="2"/>
    <n v="41"/>
    <x v="0"/>
    <x v="0"/>
  </r>
  <r>
    <n v="29424"/>
    <x v="0"/>
    <x v="0"/>
    <n v="10000"/>
    <n v="0"/>
    <x v="4"/>
    <s v="Manual"/>
    <s v="Yes"/>
    <n v="2"/>
    <x v="3"/>
    <x v="2"/>
    <n v="32"/>
    <x v="0"/>
    <x v="1"/>
  </r>
  <r>
    <n v="29447"/>
    <x v="1"/>
    <x v="1"/>
    <n v="10000"/>
    <n v="2"/>
    <x v="0"/>
    <s v="Clerical"/>
    <s v="No"/>
    <n v="1"/>
    <x v="2"/>
    <x v="2"/>
    <n v="68"/>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18E8CE-F43F-4567-AFD1-5198330B52C7}" name="PivotTable4"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showAll="0">
      <items count="4">
        <item x="0"/>
        <item m="1" x="2"/>
        <item x="1"/>
        <item t="default"/>
      </items>
    </pivotField>
    <pivotField axis="axisRow" showAll="0">
      <items count="3">
        <item x="1"/>
        <item x="0"/>
        <item t="default"/>
      </items>
    </pivotField>
    <pivotField dataField="1" numFmtId="1" showAll="0"/>
    <pivotField showAll="0"/>
    <pivotField showAll="0">
      <items count="6">
        <item x="0"/>
        <item x="3"/>
        <item x="1"/>
        <item x="2"/>
        <item x="4"/>
        <item t="default"/>
      </items>
    </pivotField>
    <pivotField showAll="0"/>
    <pivotField showAll="0"/>
    <pivotField showAll="0"/>
    <pivotField showAll="0"/>
    <pivotField showAll="0">
      <items count="4">
        <item x="2"/>
        <item x="1"/>
        <item x="0"/>
        <item t="default"/>
      </items>
    </pivotField>
    <pivotField showAll="0"/>
    <pivotField showAll="0"/>
    <pivotField axis="axisCol" showAll="0">
      <items count="3">
        <item x="1"/>
        <item x="0"/>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12">
      <pivotArea outline="0" collapsedLevelsAreSubtotals="1" fieldPosition="0"/>
    </format>
  </format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F1CE28-54F2-4F42-B3D1-89B0EBF82A43}" name="PivotTable5"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H5:K12" firstHeaderRow="1" firstDataRow="2" firstDataCol="1"/>
  <pivotFields count="14">
    <pivotField showAll="0"/>
    <pivotField showAll="0">
      <items count="4">
        <item x="0"/>
        <item m="1" x="2"/>
        <item x="1"/>
        <item t="default"/>
      </items>
    </pivotField>
    <pivotField showAll="0"/>
    <pivotField numFmtId="1" showAll="0"/>
    <pivotField showAll="0"/>
    <pivotField showAll="0">
      <items count="6">
        <item x="0"/>
        <item x="3"/>
        <item x="1"/>
        <item x="2"/>
        <item x="4"/>
        <item t="default"/>
      </items>
    </pivotField>
    <pivotField showAll="0"/>
    <pivotField showAll="0"/>
    <pivotField showAll="0"/>
    <pivotField axis="axisRow" showAll="0">
      <items count="6">
        <item x="3"/>
        <item x="4"/>
        <item x="0"/>
        <item x="2"/>
        <item x="1"/>
        <item t="default"/>
      </items>
    </pivotField>
    <pivotField showAll="0">
      <items count="4">
        <item x="2"/>
        <item x="1"/>
        <item x="0"/>
        <item t="default"/>
      </items>
    </pivotField>
    <pivotField showAll="0"/>
    <pivotField showAll="0"/>
    <pivotField axis="axisCol" dataField="1" showAll="0">
      <items count="3">
        <item x="1"/>
        <item x="0"/>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2">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0A1EFD-95F4-4CC6-BB36-B5C3942A07E3}" name="PivotTable6"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35:J40" firstHeaderRow="1" firstDataRow="2" firstDataCol="1"/>
  <pivotFields count="14">
    <pivotField showAll="0"/>
    <pivotField showAll="0">
      <items count="4">
        <item x="0"/>
        <item m="1" x="2"/>
        <item x="1"/>
        <item t="default"/>
      </items>
    </pivotField>
    <pivotField showAll="0"/>
    <pivotField numFmtId="1" showAll="0"/>
    <pivotField showAll="0"/>
    <pivotField showAll="0">
      <items count="6">
        <item x="0"/>
        <item x="3"/>
        <item x="1"/>
        <item x="2"/>
        <item x="4"/>
        <item t="default"/>
      </items>
    </pivotField>
    <pivotField showAll="0"/>
    <pivotField showAll="0"/>
    <pivotField showAll="0"/>
    <pivotField showAll="0"/>
    <pivotField showAll="0">
      <items count="4">
        <item x="2"/>
        <item x="1"/>
        <item x="0"/>
        <item t="default"/>
      </items>
    </pivotField>
    <pivotField showAll="0"/>
    <pivotField axis="axisRow" showAll="0">
      <items count="4">
        <item x="2"/>
        <item x="0"/>
        <item x="1"/>
        <item t="default"/>
      </items>
    </pivotField>
    <pivotField axis="axisCol" dataField="1" showAll="0">
      <items count="3">
        <item x="1"/>
        <item x="0"/>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A9B561A-4B8E-4E3C-B185-6332A5C065ED}" sourceName="Education">
  <pivotTables>
    <pivotTable tabId="3" name="PivotTable4"/>
    <pivotTable tabId="3" name="PivotTable5"/>
    <pivotTable tabId="3" name="PivotTable6"/>
  </pivotTables>
  <data>
    <tabular pivotCacheId="51294545">
      <items count="5">
        <i x="0" s="1"/>
        <i x="3" s="1"/>
        <i x="1"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900DFD6-49DF-4FED-854D-85E979318F65}" sourceName="Region">
  <pivotTables>
    <pivotTable tabId="3" name="PivotTable4"/>
    <pivotTable tabId="3" name="PivotTable5"/>
    <pivotTable tabId="3" name="PivotTable6"/>
  </pivotTables>
  <data>
    <tabular pivotCacheId="51294545">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7627D0A-C9A6-4567-AE01-E6D8CE46E51F}" sourceName="Marital Status">
  <pivotTables>
    <pivotTable tabId="3" name="PivotTable4"/>
    <pivotTable tabId="3" name="PivotTable5"/>
    <pivotTable tabId="3" name="PivotTable6"/>
  </pivotTables>
  <data>
    <tabular pivotCacheId="51294545">
      <items count="3">
        <i x="0" s="1"/>
        <i x="1"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8693ABBF-CA5C-488A-B6F3-371BB3B91467}" cache="Slicer_Education" caption="Education" rowHeight="234950"/>
  <slicer name="Region" xr10:uid="{AEBAB146-2BA1-4F05-B9AF-D5B130833A30}" cache="Slicer_Region" caption="Region" rowHeight="234950"/>
  <slicer name="Marital Status" xr10:uid="{974D496B-B658-461C-A5A9-636C26554CC7}" cache="Slicer_Marital_Status" caption="Marital Statu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L14" sqref="A1:M102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1BF1C-087C-435C-A897-09E0FEAEB08C}">
  <dimension ref="A3:K40"/>
  <sheetViews>
    <sheetView tabSelected="1" topLeftCell="A47" zoomScale="92" workbookViewId="0">
      <selection activeCell="A54" sqref="A54"/>
    </sheetView>
  </sheetViews>
  <sheetFormatPr defaultRowHeight="14.4" x14ac:dyDescent="0.3"/>
  <cols>
    <col min="1" max="1" width="17.21875" bestFit="1" customWidth="1"/>
    <col min="2" max="2" width="15.77734375" bestFit="1" customWidth="1"/>
    <col min="3" max="3" width="8" bestFit="1" customWidth="1"/>
    <col min="4" max="4" width="11" bestFit="1" customWidth="1"/>
    <col min="7" max="7" width="22.109375" bestFit="1" customWidth="1"/>
    <col min="8" max="8" width="15.77734375" bestFit="1" customWidth="1"/>
    <col min="9" max="9" width="4.33203125" bestFit="1" customWidth="1"/>
    <col min="10" max="11" width="11" bestFit="1" customWidth="1"/>
  </cols>
  <sheetData>
    <row r="3" spans="1:11" x14ac:dyDescent="0.3">
      <c r="A3" s="4" t="s">
        <v>46</v>
      </c>
      <c r="B3" s="4" t="s">
        <v>47</v>
      </c>
    </row>
    <row r="4" spans="1:11" x14ac:dyDescent="0.3">
      <c r="A4" s="4" t="s">
        <v>41</v>
      </c>
      <c r="B4" t="s">
        <v>18</v>
      </c>
      <c r="C4" t="s">
        <v>15</v>
      </c>
      <c r="D4" t="s">
        <v>42</v>
      </c>
    </row>
    <row r="5" spans="1:11" x14ac:dyDescent="0.3">
      <c r="A5" s="5" t="s">
        <v>39</v>
      </c>
      <c r="B5" s="6">
        <v>53440</v>
      </c>
      <c r="C5" s="6">
        <v>55774.058577405856</v>
      </c>
      <c r="D5" s="6">
        <v>54580.777096114522</v>
      </c>
      <c r="H5" s="4" t="s">
        <v>48</v>
      </c>
      <c r="I5" s="4" t="s">
        <v>47</v>
      </c>
    </row>
    <row r="6" spans="1:11" x14ac:dyDescent="0.3">
      <c r="A6" s="5" t="s">
        <v>38</v>
      </c>
      <c r="B6" s="6">
        <v>56208.178438661707</v>
      </c>
      <c r="C6" s="6">
        <v>60123.966942148763</v>
      </c>
      <c r="D6" s="6">
        <v>58062.62230919765</v>
      </c>
      <c r="H6" s="4" t="s">
        <v>41</v>
      </c>
      <c r="I6" t="s">
        <v>18</v>
      </c>
      <c r="J6" t="s">
        <v>15</v>
      </c>
      <c r="K6" t="s">
        <v>42</v>
      </c>
    </row>
    <row r="7" spans="1:11" x14ac:dyDescent="0.3">
      <c r="A7" s="5" t="s">
        <v>42</v>
      </c>
      <c r="B7" s="6">
        <v>54874.759152215796</v>
      </c>
      <c r="C7" s="6">
        <v>57962.577962577961</v>
      </c>
      <c r="D7" s="6">
        <v>56360</v>
      </c>
      <c r="H7" s="5" t="s">
        <v>16</v>
      </c>
      <c r="I7" s="7">
        <v>166</v>
      </c>
      <c r="J7" s="7">
        <v>200</v>
      </c>
      <c r="K7" s="7">
        <v>366</v>
      </c>
    </row>
    <row r="8" spans="1:11" x14ac:dyDescent="0.3">
      <c r="H8" s="5" t="s">
        <v>30</v>
      </c>
      <c r="I8" s="7">
        <v>78</v>
      </c>
      <c r="J8" s="7">
        <v>33</v>
      </c>
      <c r="K8" s="7">
        <v>111</v>
      </c>
    </row>
    <row r="9" spans="1:11" x14ac:dyDescent="0.3">
      <c r="H9" s="5" t="s">
        <v>26</v>
      </c>
      <c r="I9" s="7">
        <v>92</v>
      </c>
      <c r="J9" s="7">
        <v>77</v>
      </c>
      <c r="K9" s="7">
        <v>169</v>
      </c>
    </row>
    <row r="10" spans="1:11" x14ac:dyDescent="0.3">
      <c r="H10" s="5" t="s">
        <v>22</v>
      </c>
      <c r="I10" s="7">
        <v>67</v>
      </c>
      <c r="J10" s="7">
        <v>95</v>
      </c>
      <c r="K10" s="7">
        <v>162</v>
      </c>
    </row>
    <row r="11" spans="1:11" x14ac:dyDescent="0.3">
      <c r="H11" s="5" t="s">
        <v>23</v>
      </c>
      <c r="I11" s="7">
        <v>116</v>
      </c>
      <c r="J11" s="7">
        <v>76</v>
      </c>
      <c r="K11" s="7">
        <v>192</v>
      </c>
    </row>
    <row r="12" spans="1:11" x14ac:dyDescent="0.3">
      <c r="H12" s="5" t="s">
        <v>42</v>
      </c>
      <c r="I12" s="7">
        <v>519</v>
      </c>
      <c r="J12" s="7">
        <v>481</v>
      </c>
      <c r="K12" s="7">
        <v>1000</v>
      </c>
    </row>
    <row r="35" spans="7:10" x14ac:dyDescent="0.3">
      <c r="G35" s="4" t="s">
        <v>48</v>
      </c>
      <c r="H35" s="4" t="s">
        <v>47</v>
      </c>
    </row>
    <row r="36" spans="7:10" x14ac:dyDescent="0.3">
      <c r="G36" s="4" t="s">
        <v>41</v>
      </c>
      <c r="H36" t="s">
        <v>18</v>
      </c>
      <c r="I36" t="s">
        <v>15</v>
      </c>
      <c r="J36" t="s">
        <v>42</v>
      </c>
    </row>
    <row r="37" spans="7:10" x14ac:dyDescent="0.3">
      <c r="G37" s="5" t="s">
        <v>43</v>
      </c>
      <c r="H37" s="7">
        <v>71</v>
      </c>
      <c r="I37" s="7">
        <v>39</v>
      </c>
      <c r="J37" s="7">
        <v>110</v>
      </c>
    </row>
    <row r="38" spans="7:10" x14ac:dyDescent="0.3">
      <c r="G38" s="5" t="s">
        <v>44</v>
      </c>
      <c r="H38" s="7">
        <v>313</v>
      </c>
      <c r="I38" s="7">
        <v>372</v>
      </c>
      <c r="J38" s="7">
        <v>685</v>
      </c>
    </row>
    <row r="39" spans="7:10" x14ac:dyDescent="0.3">
      <c r="G39" s="5" t="s">
        <v>45</v>
      </c>
      <c r="H39" s="7">
        <v>135</v>
      </c>
      <c r="I39" s="7">
        <v>70</v>
      </c>
      <c r="J39" s="7">
        <v>205</v>
      </c>
    </row>
    <row r="40" spans="7:10" x14ac:dyDescent="0.3">
      <c r="G40" s="5" t="s">
        <v>42</v>
      </c>
      <c r="H40" s="7">
        <v>519</v>
      </c>
      <c r="I40" s="7">
        <v>481</v>
      </c>
      <c r="J40" s="7">
        <v>1000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C79E9-F97A-4821-8BCA-2F1B7D2159BC}">
  <dimension ref="C1:Q1001"/>
  <sheetViews>
    <sheetView workbookViewId="0">
      <selection activeCell="B17" sqref="B17"/>
    </sheetView>
  </sheetViews>
  <sheetFormatPr defaultRowHeight="14.4" x14ac:dyDescent="0.3"/>
  <cols>
    <col min="3" max="3" width="6" bestFit="1" customWidth="1"/>
    <col min="4" max="4" width="15" bestFit="1" customWidth="1"/>
    <col min="5" max="5" width="9.109375" bestFit="1" customWidth="1"/>
    <col min="6" max="6" width="9.33203125" bestFit="1" customWidth="1"/>
    <col min="7" max="7" width="9.88671875" bestFit="1" customWidth="1"/>
    <col min="8" max="8" width="16.21875" bestFit="1" customWidth="1"/>
    <col min="9" max="9" width="12.6640625" bestFit="1" customWidth="1"/>
    <col min="10" max="10" width="14" bestFit="1" customWidth="1"/>
    <col min="11" max="11" width="6.77734375" bestFit="1" customWidth="1"/>
    <col min="12" max="12" width="18.77734375" bestFit="1" customWidth="1"/>
    <col min="13" max="13" width="12.88671875" bestFit="1" customWidth="1"/>
    <col min="14" max="14" width="6.21875" bestFit="1" customWidth="1"/>
    <col min="15" max="15" width="14" bestFit="1" customWidth="1"/>
    <col min="16" max="16" width="15.5546875" bestFit="1" customWidth="1"/>
    <col min="17" max="17" width="6" bestFit="1" customWidth="1"/>
  </cols>
  <sheetData>
    <row r="1" spans="3:16" x14ac:dyDescent="0.3">
      <c r="C1" t="s">
        <v>0</v>
      </c>
      <c r="D1" t="s">
        <v>1</v>
      </c>
      <c r="E1" t="s">
        <v>2</v>
      </c>
      <c r="F1" t="s">
        <v>3</v>
      </c>
      <c r="G1" t="s">
        <v>4</v>
      </c>
      <c r="H1" t="s">
        <v>5</v>
      </c>
      <c r="I1" t="s">
        <v>6</v>
      </c>
      <c r="J1" t="s">
        <v>7</v>
      </c>
      <c r="K1" t="s">
        <v>8</v>
      </c>
      <c r="L1" t="s">
        <v>9</v>
      </c>
      <c r="M1" t="s">
        <v>10</v>
      </c>
      <c r="N1" t="s">
        <v>11</v>
      </c>
      <c r="O1" t="s">
        <v>40</v>
      </c>
      <c r="P1" t="s">
        <v>12</v>
      </c>
    </row>
    <row r="2" spans="3:16" x14ac:dyDescent="0.3">
      <c r="C2">
        <v>11000</v>
      </c>
      <c r="D2" t="s">
        <v>36</v>
      </c>
      <c r="E2" t="s">
        <v>38</v>
      </c>
      <c r="F2" s="3">
        <v>90000</v>
      </c>
      <c r="G2">
        <v>2</v>
      </c>
      <c r="H2" t="s">
        <v>13</v>
      </c>
      <c r="I2" t="s">
        <v>21</v>
      </c>
      <c r="J2" t="s">
        <v>15</v>
      </c>
      <c r="K2">
        <v>0</v>
      </c>
      <c r="L2" t="s">
        <v>26</v>
      </c>
      <c r="M2" t="s">
        <v>24</v>
      </c>
      <c r="N2">
        <v>40</v>
      </c>
      <c r="O2" t="str" cm="1">
        <f t="array" ref="O2">_xlfn.IFS(N2&gt;=54,"old",N2&gt;=31,"middle age",N2&gt;=18,"adolsent",N2&lt;18,"invalid")</f>
        <v>middle age</v>
      </c>
      <c r="P2" t="s">
        <v>15</v>
      </c>
    </row>
    <row r="3" spans="3:16" x14ac:dyDescent="0.3">
      <c r="C3">
        <v>11047</v>
      </c>
      <c r="D3" t="s">
        <v>36</v>
      </c>
      <c r="E3" t="s">
        <v>39</v>
      </c>
      <c r="F3" s="3">
        <v>30000</v>
      </c>
      <c r="G3">
        <v>3</v>
      </c>
      <c r="H3" t="s">
        <v>27</v>
      </c>
      <c r="I3" t="s">
        <v>14</v>
      </c>
      <c r="J3" t="s">
        <v>18</v>
      </c>
      <c r="K3">
        <v>2</v>
      </c>
      <c r="L3" t="s">
        <v>26</v>
      </c>
      <c r="M3" t="s">
        <v>24</v>
      </c>
      <c r="N3">
        <v>56</v>
      </c>
      <c r="O3" t="str" cm="1">
        <f t="array" ref="O3">_xlfn.IFS(N3&gt;=54,"old",N3&gt;=31,"middle age",N3&gt;=18,"adolsent",N3&lt;18,"invalid")</f>
        <v>old</v>
      </c>
      <c r="P3" t="s">
        <v>15</v>
      </c>
    </row>
    <row r="4" spans="3:16" x14ac:dyDescent="0.3">
      <c r="C4">
        <v>11061</v>
      </c>
      <c r="D4" t="s">
        <v>36</v>
      </c>
      <c r="E4" t="s">
        <v>38</v>
      </c>
      <c r="F4" s="3">
        <v>70000</v>
      </c>
      <c r="G4">
        <v>2</v>
      </c>
      <c r="H4" t="s">
        <v>19</v>
      </c>
      <c r="I4" t="s">
        <v>14</v>
      </c>
      <c r="J4" t="s">
        <v>15</v>
      </c>
      <c r="K4">
        <v>2</v>
      </c>
      <c r="L4" t="s">
        <v>23</v>
      </c>
      <c r="M4" t="s">
        <v>24</v>
      </c>
      <c r="N4">
        <v>52</v>
      </c>
      <c r="O4" t="str" cm="1">
        <f t="array" ref="O4">_xlfn.IFS(N4&gt;=54,"old",N4&gt;=31,"middle age",N4&gt;=18,"adolsent",N4&lt;18,"invalid")</f>
        <v>middle age</v>
      </c>
      <c r="P4" t="s">
        <v>15</v>
      </c>
    </row>
    <row r="5" spans="3:16" x14ac:dyDescent="0.3">
      <c r="C5">
        <v>11090</v>
      </c>
      <c r="D5" t="s">
        <v>37</v>
      </c>
      <c r="E5" t="s">
        <v>38</v>
      </c>
      <c r="F5" s="3">
        <v>90000</v>
      </c>
      <c r="G5">
        <v>2</v>
      </c>
      <c r="H5" t="s">
        <v>19</v>
      </c>
      <c r="I5" t="s">
        <v>21</v>
      </c>
      <c r="J5" t="s">
        <v>15</v>
      </c>
      <c r="K5">
        <v>1</v>
      </c>
      <c r="L5" t="s">
        <v>22</v>
      </c>
      <c r="M5" t="s">
        <v>32</v>
      </c>
      <c r="N5">
        <v>48</v>
      </c>
      <c r="O5" t="str" cm="1">
        <f t="array" ref="O5">_xlfn.IFS(N5&gt;=54,"old",N5&gt;=31,"middle age",N5&gt;=18,"adolsent",N5&lt;18,"invalid")</f>
        <v>middle age</v>
      </c>
      <c r="P5" t="s">
        <v>15</v>
      </c>
    </row>
    <row r="6" spans="3:16" x14ac:dyDescent="0.3">
      <c r="C6">
        <v>11116</v>
      </c>
      <c r="D6" t="s">
        <v>36</v>
      </c>
      <c r="E6" t="s">
        <v>38</v>
      </c>
      <c r="F6" s="3">
        <v>70000</v>
      </c>
      <c r="G6">
        <v>5</v>
      </c>
      <c r="H6" t="s">
        <v>19</v>
      </c>
      <c r="I6" t="s">
        <v>14</v>
      </c>
      <c r="J6" t="s">
        <v>15</v>
      </c>
      <c r="K6">
        <v>2</v>
      </c>
      <c r="L6" t="s">
        <v>23</v>
      </c>
      <c r="M6" t="s">
        <v>24</v>
      </c>
      <c r="N6">
        <v>43</v>
      </c>
      <c r="O6" t="str" cm="1">
        <f t="array" ref="O6">_xlfn.IFS(N6&gt;=54,"old",N6&gt;=31,"middle age",N6&gt;=18,"adolsent",N6&lt;18,"invalid")</f>
        <v>middle age</v>
      </c>
      <c r="P6" t="s">
        <v>18</v>
      </c>
    </row>
    <row r="7" spans="3:16" x14ac:dyDescent="0.3">
      <c r="C7">
        <v>11139</v>
      </c>
      <c r="D7" t="s">
        <v>37</v>
      </c>
      <c r="E7" t="s">
        <v>39</v>
      </c>
      <c r="F7" s="3">
        <v>30000</v>
      </c>
      <c r="G7">
        <v>2</v>
      </c>
      <c r="H7" t="s">
        <v>19</v>
      </c>
      <c r="I7" t="s">
        <v>20</v>
      </c>
      <c r="J7" t="s">
        <v>18</v>
      </c>
      <c r="K7">
        <v>2</v>
      </c>
      <c r="L7" t="s">
        <v>23</v>
      </c>
      <c r="M7" t="s">
        <v>24</v>
      </c>
      <c r="N7">
        <v>67</v>
      </c>
      <c r="O7" t="str" cm="1">
        <f t="array" ref="O7">_xlfn.IFS(N7&gt;=54,"old",N7&gt;=31,"middle age",N7&gt;=18,"adolsent",N7&lt;18,"invalid")</f>
        <v>old</v>
      </c>
      <c r="P7" t="s">
        <v>18</v>
      </c>
    </row>
    <row r="8" spans="3:16" x14ac:dyDescent="0.3">
      <c r="C8">
        <v>11143</v>
      </c>
      <c r="D8" t="s">
        <v>36</v>
      </c>
      <c r="E8" t="s">
        <v>38</v>
      </c>
      <c r="F8" s="3">
        <v>40000</v>
      </c>
      <c r="G8">
        <v>0</v>
      </c>
      <c r="H8" t="s">
        <v>27</v>
      </c>
      <c r="I8" t="s">
        <v>14</v>
      </c>
      <c r="J8" t="s">
        <v>15</v>
      </c>
      <c r="K8">
        <v>2</v>
      </c>
      <c r="L8" t="s">
        <v>23</v>
      </c>
      <c r="M8" t="s">
        <v>32</v>
      </c>
      <c r="N8">
        <v>29</v>
      </c>
      <c r="O8" t="str" cm="1">
        <f t="array" ref="O8">_xlfn.IFS(N8&gt;=54,"old",N8&gt;=31,"middle age",N8&gt;=18,"adolsent",N8&lt;18,"invalid")</f>
        <v>adolsent</v>
      </c>
      <c r="P8" t="s">
        <v>18</v>
      </c>
    </row>
    <row r="9" spans="3:16" x14ac:dyDescent="0.3">
      <c r="C9">
        <v>11147</v>
      </c>
      <c r="D9" t="s">
        <v>36</v>
      </c>
      <c r="E9" t="s">
        <v>38</v>
      </c>
      <c r="F9" s="3">
        <v>60000</v>
      </c>
      <c r="G9">
        <v>2</v>
      </c>
      <c r="H9" t="s">
        <v>31</v>
      </c>
      <c r="I9" t="s">
        <v>28</v>
      </c>
      <c r="J9" t="s">
        <v>15</v>
      </c>
      <c r="K9">
        <v>1</v>
      </c>
      <c r="L9" t="s">
        <v>16</v>
      </c>
      <c r="M9" t="s">
        <v>24</v>
      </c>
      <c r="N9">
        <v>67</v>
      </c>
      <c r="O9" t="str" cm="1">
        <f t="array" ref="O9">_xlfn.IFS(N9&gt;=54,"old",N9&gt;=31,"middle age",N9&gt;=18,"adolsent",N9&lt;18,"invalid")</f>
        <v>old</v>
      </c>
      <c r="P9" t="s">
        <v>15</v>
      </c>
    </row>
    <row r="10" spans="3:16" x14ac:dyDescent="0.3">
      <c r="C10">
        <v>11149</v>
      </c>
      <c r="D10" t="s">
        <v>36</v>
      </c>
      <c r="E10" t="s">
        <v>38</v>
      </c>
      <c r="F10" s="3">
        <v>40000</v>
      </c>
      <c r="G10">
        <v>2</v>
      </c>
      <c r="H10" t="s">
        <v>13</v>
      </c>
      <c r="I10" t="s">
        <v>28</v>
      </c>
      <c r="J10" t="s">
        <v>15</v>
      </c>
      <c r="K10">
        <v>2</v>
      </c>
      <c r="L10" t="s">
        <v>16</v>
      </c>
      <c r="M10" t="s">
        <v>24</v>
      </c>
      <c r="N10">
        <v>65</v>
      </c>
      <c r="O10" t="str" cm="1">
        <f t="array" ref="O10">_xlfn.IFS(N10&gt;=54,"old",N10&gt;=31,"middle age",N10&gt;=18,"adolsent",N10&lt;18,"invalid")</f>
        <v>old</v>
      </c>
      <c r="P10" t="s">
        <v>18</v>
      </c>
    </row>
    <row r="11" spans="3:16" x14ac:dyDescent="0.3">
      <c r="C11">
        <v>11165</v>
      </c>
      <c r="D11" t="s">
        <v>36</v>
      </c>
      <c r="E11" t="s">
        <v>39</v>
      </c>
      <c r="F11" s="3">
        <v>60000</v>
      </c>
      <c r="G11">
        <v>0</v>
      </c>
      <c r="H11" t="s">
        <v>19</v>
      </c>
      <c r="I11" t="s">
        <v>14</v>
      </c>
      <c r="J11" t="s">
        <v>18</v>
      </c>
      <c r="K11">
        <v>1</v>
      </c>
      <c r="L11" t="s">
        <v>26</v>
      </c>
      <c r="M11" t="s">
        <v>32</v>
      </c>
      <c r="N11">
        <v>33</v>
      </c>
      <c r="O11" t="str" cm="1">
        <f t="array" ref="O11">_xlfn.IFS(N11&gt;=54,"old",N11&gt;=31,"middle age",N11&gt;=18,"adolsent",N11&lt;18,"invalid")</f>
        <v>middle age</v>
      </c>
      <c r="P11" t="s">
        <v>18</v>
      </c>
    </row>
    <row r="12" spans="3:16" x14ac:dyDescent="0.3">
      <c r="C12">
        <v>11199</v>
      </c>
      <c r="D12" t="s">
        <v>36</v>
      </c>
      <c r="E12" t="s">
        <v>39</v>
      </c>
      <c r="F12" s="3">
        <v>70000</v>
      </c>
      <c r="G12">
        <v>4</v>
      </c>
      <c r="H12" t="s">
        <v>13</v>
      </c>
      <c r="I12" t="s">
        <v>28</v>
      </c>
      <c r="J12" t="s">
        <v>15</v>
      </c>
      <c r="K12">
        <v>1</v>
      </c>
      <c r="L12" t="s">
        <v>30</v>
      </c>
      <c r="M12" t="s">
        <v>32</v>
      </c>
      <c r="N12">
        <v>59</v>
      </c>
      <c r="O12" t="str" cm="1">
        <f t="array" ref="O12">_xlfn.IFS(N12&gt;=54,"old",N12&gt;=31,"middle age",N12&gt;=18,"adolsent",N12&lt;18,"invalid")</f>
        <v>old</v>
      </c>
      <c r="P12" t="s">
        <v>18</v>
      </c>
    </row>
    <row r="13" spans="3:16" x14ac:dyDescent="0.3">
      <c r="C13">
        <v>11200</v>
      </c>
      <c r="D13" t="s">
        <v>36</v>
      </c>
      <c r="E13" t="s">
        <v>38</v>
      </c>
      <c r="F13" s="3">
        <v>70000</v>
      </c>
      <c r="G13">
        <v>4</v>
      </c>
      <c r="H13" t="s">
        <v>13</v>
      </c>
      <c r="I13" t="s">
        <v>28</v>
      </c>
      <c r="J13" t="s">
        <v>15</v>
      </c>
      <c r="K13">
        <v>1</v>
      </c>
      <c r="L13" t="s">
        <v>26</v>
      </c>
      <c r="M13" t="s">
        <v>32</v>
      </c>
      <c r="N13">
        <v>58</v>
      </c>
      <c r="O13" t="str" cm="1">
        <f t="array" ref="O13">_xlfn.IFS(N13&gt;=54,"old",N13&gt;=31,"middle age",N13&gt;=18,"adolsent",N13&lt;18,"invalid")</f>
        <v>old</v>
      </c>
      <c r="P13" t="s">
        <v>18</v>
      </c>
    </row>
    <row r="14" spans="3:16" x14ac:dyDescent="0.3">
      <c r="C14">
        <v>11219</v>
      </c>
      <c r="D14" t="s">
        <v>36</v>
      </c>
      <c r="E14" t="s">
        <v>38</v>
      </c>
      <c r="F14" s="3">
        <v>60000</v>
      </c>
      <c r="G14">
        <v>2</v>
      </c>
      <c r="H14" t="s">
        <v>27</v>
      </c>
      <c r="I14" t="s">
        <v>21</v>
      </c>
      <c r="J14" t="s">
        <v>15</v>
      </c>
      <c r="K14">
        <v>2</v>
      </c>
      <c r="L14" t="s">
        <v>30</v>
      </c>
      <c r="M14" t="s">
        <v>32</v>
      </c>
      <c r="N14">
        <v>55</v>
      </c>
      <c r="O14" t="str" cm="1">
        <f t="array" ref="O14">_xlfn.IFS(N14&gt;=54,"old",N14&gt;=31,"middle age",N14&gt;=18,"adolsent",N14&lt;18,"invalid")</f>
        <v>old</v>
      </c>
      <c r="P14" t="s">
        <v>18</v>
      </c>
    </row>
    <row r="15" spans="3:16" x14ac:dyDescent="0.3">
      <c r="C15">
        <v>11225</v>
      </c>
      <c r="D15" t="s">
        <v>36</v>
      </c>
      <c r="E15" t="s">
        <v>39</v>
      </c>
      <c r="F15" s="3">
        <v>60000</v>
      </c>
      <c r="G15">
        <v>2</v>
      </c>
      <c r="H15" t="s">
        <v>19</v>
      </c>
      <c r="I15" t="s">
        <v>21</v>
      </c>
      <c r="J15" t="s">
        <v>15</v>
      </c>
      <c r="K15">
        <v>1</v>
      </c>
      <c r="L15" t="s">
        <v>30</v>
      </c>
      <c r="M15" t="s">
        <v>32</v>
      </c>
      <c r="N15">
        <v>55</v>
      </c>
      <c r="O15" t="str" cm="1">
        <f t="array" ref="O15">_xlfn.IFS(N15&gt;=54,"old",N15&gt;=31,"middle age",N15&gt;=18,"adolsent",N15&lt;18,"invalid")</f>
        <v>old</v>
      </c>
      <c r="P15" t="s">
        <v>18</v>
      </c>
    </row>
    <row r="16" spans="3:16" x14ac:dyDescent="0.3">
      <c r="C16">
        <v>11233</v>
      </c>
      <c r="D16" t="s">
        <v>36</v>
      </c>
      <c r="E16" t="s">
        <v>38</v>
      </c>
      <c r="F16" s="3">
        <v>70000</v>
      </c>
      <c r="G16">
        <v>4</v>
      </c>
      <c r="H16" t="s">
        <v>19</v>
      </c>
      <c r="I16" t="s">
        <v>21</v>
      </c>
      <c r="J16" t="s">
        <v>15</v>
      </c>
      <c r="K16">
        <v>2</v>
      </c>
      <c r="L16" t="s">
        <v>30</v>
      </c>
      <c r="M16" t="s">
        <v>32</v>
      </c>
      <c r="N16">
        <v>53</v>
      </c>
      <c r="O16" t="str" cm="1">
        <f t="array" ref="O16">_xlfn.IFS(N16&gt;=54,"old",N16&gt;=31,"middle age",N16&gt;=18,"adolsent",N16&lt;18,"invalid")</f>
        <v>middle age</v>
      </c>
      <c r="P16" t="s">
        <v>18</v>
      </c>
    </row>
    <row r="17" spans="3:16" x14ac:dyDescent="0.3">
      <c r="C17">
        <v>11249</v>
      </c>
      <c r="D17" t="s">
        <v>36</v>
      </c>
      <c r="E17" t="s">
        <v>39</v>
      </c>
      <c r="F17" s="3">
        <v>130000</v>
      </c>
      <c r="G17">
        <v>3</v>
      </c>
      <c r="H17" t="s">
        <v>19</v>
      </c>
      <c r="I17" t="s">
        <v>21</v>
      </c>
      <c r="J17" t="s">
        <v>15</v>
      </c>
      <c r="K17">
        <v>3</v>
      </c>
      <c r="L17" t="s">
        <v>16</v>
      </c>
      <c r="M17" t="s">
        <v>17</v>
      </c>
      <c r="N17">
        <v>51</v>
      </c>
      <c r="O17" t="str" cm="1">
        <f t="array" ref="O17">_xlfn.IFS(N17&gt;=54,"old",N17&gt;=31,"middle age",N17&gt;=18,"adolsent",N17&lt;18,"invalid")</f>
        <v>middle age</v>
      </c>
      <c r="P17" t="s">
        <v>15</v>
      </c>
    </row>
    <row r="18" spans="3:16" x14ac:dyDescent="0.3">
      <c r="C18">
        <v>11255</v>
      </c>
      <c r="D18" t="s">
        <v>36</v>
      </c>
      <c r="E18" t="s">
        <v>38</v>
      </c>
      <c r="F18" s="3">
        <v>70000</v>
      </c>
      <c r="G18">
        <v>4</v>
      </c>
      <c r="H18" t="s">
        <v>31</v>
      </c>
      <c r="I18" t="s">
        <v>28</v>
      </c>
      <c r="J18" t="s">
        <v>15</v>
      </c>
      <c r="K18">
        <v>2</v>
      </c>
      <c r="L18" t="s">
        <v>23</v>
      </c>
      <c r="M18" t="s">
        <v>32</v>
      </c>
      <c r="N18">
        <v>73</v>
      </c>
      <c r="O18" t="str" cm="1">
        <f t="array" ref="O18">_xlfn.IFS(N18&gt;=54,"old",N18&gt;=31,"middle age",N18&gt;=18,"adolsent",N18&lt;18,"invalid")</f>
        <v>old</v>
      </c>
      <c r="P18" t="s">
        <v>18</v>
      </c>
    </row>
    <row r="19" spans="3:16" x14ac:dyDescent="0.3">
      <c r="C19">
        <v>11259</v>
      </c>
      <c r="D19" t="s">
        <v>36</v>
      </c>
      <c r="E19" t="s">
        <v>39</v>
      </c>
      <c r="F19" s="3">
        <v>100000</v>
      </c>
      <c r="G19">
        <v>4</v>
      </c>
      <c r="H19" t="s">
        <v>19</v>
      </c>
      <c r="I19" t="s">
        <v>21</v>
      </c>
      <c r="J19" t="s">
        <v>15</v>
      </c>
      <c r="K19">
        <v>4</v>
      </c>
      <c r="L19" t="s">
        <v>22</v>
      </c>
      <c r="M19" t="s">
        <v>32</v>
      </c>
      <c r="N19">
        <v>41</v>
      </c>
      <c r="O19" t="str" cm="1">
        <f t="array" ref="O19">_xlfn.IFS(N19&gt;=54,"old",N19&gt;=31,"middle age",N19&gt;=18,"adolsent",N19&lt;18,"invalid")</f>
        <v>middle age</v>
      </c>
      <c r="P19" t="s">
        <v>15</v>
      </c>
    </row>
    <row r="20" spans="3:16" x14ac:dyDescent="0.3">
      <c r="C20">
        <v>11262</v>
      </c>
      <c r="D20" t="s">
        <v>36</v>
      </c>
      <c r="E20" t="s">
        <v>39</v>
      </c>
      <c r="F20" s="3">
        <v>80000</v>
      </c>
      <c r="G20">
        <v>4</v>
      </c>
      <c r="H20" t="s">
        <v>13</v>
      </c>
      <c r="I20" t="s">
        <v>28</v>
      </c>
      <c r="J20" t="s">
        <v>15</v>
      </c>
      <c r="K20">
        <v>0</v>
      </c>
      <c r="L20" t="s">
        <v>16</v>
      </c>
      <c r="M20" t="s">
        <v>32</v>
      </c>
      <c r="N20">
        <v>42</v>
      </c>
      <c r="O20" t="str" cm="1">
        <f t="array" ref="O20">_xlfn.IFS(N20&gt;=54,"old",N20&gt;=31,"middle age",N20&gt;=18,"adolsent",N20&lt;18,"invalid")</f>
        <v>middle age</v>
      </c>
      <c r="P20" t="s">
        <v>18</v>
      </c>
    </row>
    <row r="21" spans="3:16" x14ac:dyDescent="0.3">
      <c r="C21">
        <v>11269</v>
      </c>
      <c r="D21" t="s">
        <v>36</v>
      </c>
      <c r="E21" t="s">
        <v>38</v>
      </c>
      <c r="F21" s="3">
        <v>130000</v>
      </c>
      <c r="G21">
        <v>2</v>
      </c>
      <c r="H21" t="s">
        <v>31</v>
      </c>
      <c r="I21" t="s">
        <v>28</v>
      </c>
      <c r="J21" t="s">
        <v>15</v>
      </c>
      <c r="K21">
        <v>2</v>
      </c>
      <c r="L21" t="s">
        <v>16</v>
      </c>
      <c r="M21" t="s">
        <v>32</v>
      </c>
      <c r="N21">
        <v>41</v>
      </c>
      <c r="O21" t="str" cm="1">
        <f t="array" ref="O21">_xlfn.IFS(N21&gt;=54,"old",N21&gt;=31,"middle age",N21&gt;=18,"adolsent",N21&lt;18,"invalid")</f>
        <v>middle age</v>
      </c>
      <c r="P21" t="s">
        <v>18</v>
      </c>
    </row>
    <row r="22" spans="3:16" x14ac:dyDescent="0.3">
      <c r="C22">
        <v>11270</v>
      </c>
      <c r="D22" t="s">
        <v>36</v>
      </c>
      <c r="E22" t="s">
        <v>38</v>
      </c>
      <c r="F22" s="3">
        <v>130000</v>
      </c>
      <c r="G22">
        <v>2</v>
      </c>
      <c r="H22" t="s">
        <v>31</v>
      </c>
      <c r="I22" t="s">
        <v>28</v>
      </c>
      <c r="J22" t="s">
        <v>15</v>
      </c>
      <c r="K22">
        <v>3</v>
      </c>
      <c r="L22" t="s">
        <v>16</v>
      </c>
      <c r="M22" t="s">
        <v>32</v>
      </c>
      <c r="N22">
        <v>42</v>
      </c>
      <c r="O22" t="str" cm="1">
        <f t="array" ref="O22">_xlfn.IFS(N22&gt;=54,"old",N22&gt;=31,"middle age",N22&gt;=18,"adolsent",N22&lt;18,"invalid")</f>
        <v>middle age</v>
      </c>
      <c r="P22" t="s">
        <v>15</v>
      </c>
    </row>
    <row r="23" spans="3:16" x14ac:dyDescent="0.3">
      <c r="C23">
        <v>11275</v>
      </c>
      <c r="D23" t="s">
        <v>36</v>
      </c>
      <c r="E23" t="s">
        <v>39</v>
      </c>
      <c r="F23" s="3">
        <v>80000</v>
      </c>
      <c r="G23">
        <v>4</v>
      </c>
      <c r="H23" t="s">
        <v>31</v>
      </c>
      <c r="I23" t="s">
        <v>28</v>
      </c>
      <c r="J23" t="s">
        <v>15</v>
      </c>
      <c r="K23">
        <v>2</v>
      </c>
      <c r="L23" t="s">
        <v>16</v>
      </c>
      <c r="M23" t="s">
        <v>32</v>
      </c>
      <c r="N23">
        <v>72</v>
      </c>
      <c r="O23" t="str" cm="1">
        <f t="array" ref="O23">_xlfn.IFS(N23&gt;=54,"old",N23&gt;=31,"middle age",N23&gt;=18,"adolsent",N23&lt;18,"invalid")</f>
        <v>old</v>
      </c>
      <c r="P23" t="s">
        <v>15</v>
      </c>
    </row>
    <row r="24" spans="3:16" x14ac:dyDescent="0.3">
      <c r="C24">
        <v>11287</v>
      </c>
      <c r="D24" t="s">
        <v>36</v>
      </c>
      <c r="E24" t="s">
        <v>38</v>
      </c>
      <c r="F24" s="3">
        <v>70000</v>
      </c>
      <c r="G24">
        <v>5</v>
      </c>
      <c r="H24" t="s">
        <v>19</v>
      </c>
      <c r="I24" t="s">
        <v>21</v>
      </c>
      <c r="J24" t="s">
        <v>18</v>
      </c>
      <c r="K24">
        <v>3</v>
      </c>
      <c r="L24" t="s">
        <v>23</v>
      </c>
      <c r="M24" t="s">
        <v>32</v>
      </c>
      <c r="N24">
        <v>45</v>
      </c>
      <c r="O24" t="str" cm="1">
        <f t="array" ref="O24">_xlfn.IFS(N24&gt;=54,"old",N24&gt;=31,"middle age",N24&gt;=18,"adolsent",N24&lt;18,"invalid")</f>
        <v>middle age</v>
      </c>
      <c r="P24" t="s">
        <v>18</v>
      </c>
    </row>
    <row r="25" spans="3:16" x14ac:dyDescent="0.3">
      <c r="C25">
        <v>11292</v>
      </c>
      <c r="D25" t="s">
        <v>37</v>
      </c>
      <c r="E25" t="s">
        <v>38</v>
      </c>
      <c r="F25" s="3">
        <v>150000</v>
      </c>
      <c r="G25">
        <v>1</v>
      </c>
      <c r="H25" t="s">
        <v>19</v>
      </c>
      <c r="I25" t="s">
        <v>21</v>
      </c>
      <c r="J25" t="s">
        <v>18</v>
      </c>
      <c r="K25">
        <v>3</v>
      </c>
      <c r="L25" t="s">
        <v>16</v>
      </c>
      <c r="M25" t="s">
        <v>32</v>
      </c>
      <c r="N25">
        <v>44</v>
      </c>
      <c r="O25" t="str" cm="1">
        <f t="array" ref="O25">_xlfn.IFS(N25&gt;=54,"old",N25&gt;=31,"middle age",N25&gt;=18,"adolsent",N25&lt;18,"invalid")</f>
        <v>middle age</v>
      </c>
      <c r="P25" t="s">
        <v>15</v>
      </c>
    </row>
    <row r="26" spans="3:16" x14ac:dyDescent="0.3">
      <c r="C26">
        <v>11303</v>
      </c>
      <c r="D26" t="s">
        <v>37</v>
      </c>
      <c r="E26" t="s">
        <v>39</v>
      </c>
      <c r="F26" s="3">
        <v>90000</v>
      </c>
      <c r="G26">
        <v>4</v>
      </c>
      <c r="H26" t="s">
        <v>27</v>
      </c>
      <c r="I26" t="s">
        <v>21</v>
      </c>
      <c r="J26" t="s">
        <v>18</v>
      </c>
      <c r="K26">
        <v>3</v>
      </c>
      <c r="L26" t="s">
        <v>26</v>
      </c>
      <c r="M26" t="s">
        <v>32</v>
      </c>
      <c r="N26">
        <v>45</v>
      </c>
      <c r="O26" t="str" cm="1">
        <f t="array" ref="O26">_xlfn.IFS(N26&gt;=54,"old",N26&gt;=31,"middle age",N26&gt;=18,"adolsent",N26&lt;18,"invalid")</f>
        <v>middle age</v>
      </c>
      <c r="P26" t="s">
        <v>15</v>
      </c>
    </row>
    <row r="27" spans="3:16" x14ac:dyDescent="0.3">
      <c r="C27">
        <v>11340</v>
      </c>
      <c r="D27" t="s">
        <v>36</v>
      </c>
      <c r="E27" t="s">
        <v>39</v>
      </c>
      <c r="F27" s="3">
        <v>10000</v>
      </c>
      <c r="G27">
        <v>1</v>
      </c>
      <c r="H27" t="s">
        <v>31</v>
      </c>
      <c r="I27" t="s">
        <v>20</v>
      </c>
      <c r="J27" t="s">
        <v>15</v>
      </c>
      <c r="K27">
        <v>0</v>
      </c>
      <c r="L27" t="s">
        <v>16</v>
      </c>
      <c r="M27" t="s">
        <v>17</v>
      </c>
      <c r="N27">
        <v>70</v>
      </c>
      <c r="O27" t="str" cm="1">
        <f t="array" ref="O27">_xlfn.IFS(N27&gt;=54,"old",N27&gt;=31,"middle age",N27&gt;=18,"adolsent",N27&lt;18,"invalid")</f>
        <v>old</v>
      </c>
      <c r="P27" t="s">
        <v>15</v>
      </c>
    </row>
    <row r="28" spans="3:16" x14ac:dyDescent="0.3">
      <c r="C28">
        <v>11378</v>
      </c>
      <c r="D28" t="s">
        <v>37</v>
      </c>
      <c r="E28" t="s">
        <v>39</v>
      </c>
      <c r="F28" s="3">
        <v>10000</v>
      </c>
      <c r="G28">
        <v>1</v>
      </c>
      <c r="H28" t="s">
        <v>27</v>
      </c>
      <c r="I28" t="s">
        <v>25</v>
      </c>
      <c r="J28" t="s">
        <v>18</v>
      </c>
      <c r="K28">
        <v>1</v>
      </c>
      <c r="L28" t="s">
        <v>22</v>
      </c>
      <c r="M28" t="s">
        <v>17</v>
      </c>
      <c r="N28">
        <v>46</v>
      </c>
      <c r="O28" t="str" cm="1">
        <f t="array" ref="O28">_xlfn.IFS(N28&gt;=54,"old",N28&gt;=31,"middle age",N28&gt;=18,"adolsent",N28&lt;18,"invalid")</f>
        <v>middle age</v>
      </c>
      <c r="P28" t="s">
        <v>15</v>
      </c>
    </row>
    <row r="29" spans="3:16" x14ac:dyDescent="0.3">
      <c r="C29">
        <v>11381</v>
      </c>
      <c r="D29" t="s">
        <v>36</v>
      </c>
      <c r="E29" t="s">
        <v>39</v>
      </c>
      <c r="F29" s="3">
        <v>20000</v>
      </c>
      <c r="G29">
        <v>2</v>
      </c>
      <c r="H29" t="s">
        <v>19</v>
      </c>
      <c r="I29" t="s">
        <v>25</v>
      </c>
      <c r="J29" t="s">
        <v>15</v>
      </c>
      <c r="K29">
        <v>1</v>
      </c>
      <c r="L29" t="s">
        <v>22</v>
      </c>
      <c r="M29" t="s">
        <v>17</v>
      </c>
      <c r="N29">
        <v>47</v>
      </c>
      <c r="O29" t="str" cm="1">
        <f t="array" ref="O29">_xlfn.IFS(N29&gt;=54,"old",N29&gt;=31,"middle age",N29&gt;=18,"adolsent",N29&lt;18,"invalid")</f>
        <v>middle age</v>
      </c>
      <c r="P29" t="s">
        <v>15</v>
      </c>
    </row>
    <row r="30" spans="3:16" x14ac:dyDescent="0.3">
      <c r="C30">
        <v>11383</v>
      </c>
      <c r="D30" t="s">
        <v>36</v>
      </c>
      <c r="E30" t="s">
        <v>39</v>
      </c>
      <c r="F30" s="3">
        <v>30000</v>
      </c>
      <c r="G30">
        <v>3</v>
      </c>
      <c r="H30" t="s">
        <v>31</v>
      </c>
      <c r="I30" t="s">
        <v>20</v>
      </c>
      <c r="J30" t="s">
        <v>15</v>
      </c>
      <c r="K30">
        <v>0</v>
      </c>
      <c r="L30" t="s">
        <v>16</v>
      </c>
      <c r="M30" t="s">
        <v>17</v>
      </c>
      <c r="N30">
        <v>46</v>
      </c>
      <c r="O30" t="str" cm="1">
        <f t="array" ref="O30">_xlfn.IFS(N30&gt;=54,"old",N30&gt;=31,"middle age",N30&gt;=18,"adolsent",N30&lt;18,"invalid")</f>
        <v>middle age</v>
      </c>
      <c r="P30" t="s">
        <v>18</v>
      </c>
    </row>
    <row r="31" spans="3:16" x14ac:dyDescent="0.3">
      <c r="C31">
        <v>11386</v>
      </c>
      <c r="D31" t="s">
        <v>36</v>
      </c>
      <c r="E31" t="s">
        <v>39</v>
      </c>
      <c r="F31" s="3">
        <v>30000</v>
      </c>
      <c r="G31">
        <v>3</v>
      </c>
      <c r="H31" t="s">
        <v>13</v>
      </c>
      <c r="I31" t="s">
        <v>20</v>
      </c>
      <c r="J31" t="s">
        <v>15</v>
      </c>
      <c r="K31">
        <v>0</v>
      </c>
      <c r="L31" t="s">
        <v>16</v>
      </c>
      <c r="M31" t="s">
        <v>17</v>
      </c>
      <c r="N31">
        <v>45</v>
      </c>
      <c r="O31" t="str" cm="1">
        <f t="array" ref="O31">_xlfn.IFS(N31&gt;=54,"old",N31&gt;=31,"middle age",N31&gt;=18,"adolsent",N31&lt;18,"invalid")</f>
        <v>middle age</v>
      </c>
      <c r="P31" t="s">
        <v>18</v>
      </c>
    </row>
    <row r="32" spans="3:16" x14ac:dyDescent="0.3">
      <c r="C32">
        <v>11415</v>
      </c>
      <c r="D32" t="s">
        <v>37</v>
      </c>
      <c r="E32" t="s">
        <v>38</v>
      </c>
      <c r="F32" s="3">
        <v>90000</v>
      </c>
      <c r="G32">
        <v>5</v>
      </c>
      <c r="H32" t="s">
        <v>19</v>
      </c>
      <c r="I32" t="s">
        <v>21</v>
      </c>
      <c r="J32" t="s">
        <v>18</v>
      </c>
      <c r="K32">
        <v>2</v>
      </c>
      <c r="L32" t="s">
        <v>30</v>
      </c>
      <c r="M32" t="s">
        <v>17</v>
      </c>
      <c r="N32">
        <v>62</v>
      </c>
      <c r="O32" t="str" cm="1">
        <f t="array" ref="O32">_xlfn.IFS(N32&gt;=54,"old",N32&gt;=31,"middle age",N32&gt;=18,"adolsent",N32&lt;18,"invalid")</f>
        <v>old</v>
      </c>
      <c r="P32" t="s">
        <v>18</v>
      </c>
    </row>
    <row r="33" spans="3:16" x14ac:dyDescent="0.3">
      <c r="C33">
        <v>11434</v>
      </c>
      <c r="D33" t="s">
        <v>36</v>
      </c>
      <c r="E33" t="s">
        <v>38</v>
      </c>
      <c r="F33" s="3">
        <v>170000</v>
      </c>
      <c r="G33">
        <v>5</v>
      </c>
      <c r="H33" t="s">
        <v>19</v>
      </c>
      <c r="I33" t="s">
        <v>21</v>
      </c>
      <c r="J33" t="s">
        <v>15</v>
      </c>
      <c r="K33">
        <v>0</v>
      </c>
      <c r="L33" t="s">
        <v>16</v>
      </c>
      <c r="M33" t="s">
        <v>17</v>
      </c>
      <c r="N33">
        <v>55</v>
      </c>
      <c r="O33" t="str" cm="1">
        <f t="array" ref="O33">_xlfn.IFS(N33&gt;=54,"old",N33&gt;=31,"middle age",N33&gt;=18,"adolsent",N33&lt;18,"invalid")</f>
        <v>old</v>
      </c>
      <c r="P33" t="s">
        <v>18</v>
      </c>
    </row>
    <row r="34" spans="3:16" x14ac:dyDescent="0.3">
      <c r="C34">
        <v>11451</v>
      </c>
      <c r="D34" t="s">
        <v>37</v>
      </c>
      <c r="E34" t="s">
        <v>38</v>
      </c>
      <c r="F34" s="3">
        <v>70000</v>
      </c>
      <c r="G34">
        <v>0</v>
      </c>
      <c r="H34" t="s">
        <v>13</v>
      </c>
      <c r="I34" t="s">
        <v>21</v>
      </c>
      <c r="J34" t="s">
        <v>18</v>
      </c>
      <c r="K34">
        <v>4</v>
      </c>
      <c r="L34" t="s">
        <v>30</v>
      </c>
      <c r="M34" t="s">
        <v>24</v>
      </c>
      <c r="N34">
        <v>31</v>
      </c>
      <c r="O34" t="str" cm="1">
        <f t="array" ref="O34">_xlfn.IFS(N34&gt;=54,"old",N34&gt;=31,"middle age",N34&gt;=18,"adolsent",N34&lt;18,"invalid")</f>
        <v>middle age</v>
      </c>
      <c r="P34" t="s">
        <v>15</v>
      </c>
    </row>
    <row r="35" spans="3:16" x14ac:dyDescent="0.3">
      <c r="C35">
        <v>11453</v>
      </c>
      <c r="D35" t="s">
        <v>37</v>
      </c>
      <c r="E35" t="s">
        <v>38</v>
      </c>
      <c r="F35" s="3">
        <v>80000</v>
      </c>
      <c r="G35">
        <v>0</v>
      </c>
      <c r="H35" t="s">
        <v>13</v>
      </c>
      <c r="I35" t="s">
        <v>21</v>
      </c>
      <c r="J35" t="s">
        <v>18</v>
      </c>
      <c r="K35">
        <v>3</v>
      </c>
      <c r="L35" t="s">
        <v>30</v>
      </c>
      <c r="M35" t="s">
        <v>24</v>
      </c>
      <c r="N35">
        <v>33</v>
      </c>
      <c r="O35" t="str" cm="1">
        <f t="array" ref="O35">_xlfn.IFS(N35&gt;=54,"old",N35&gt;=31,"middle age",N35&gt;=18,"adolsent",N35&lt;18,"invalid")</f>
        <v>middle age</v>
      </c>
      <c r="P35" t="s">
        <v>15</v>
      </c>
    </row>
    <row r="36" spans="3:16" x14ac:dyDescent="0.3">
      <c r="C36">
        <v>11489</v>
      </c>
      <c r="D36" t="s">
        <v>37</v>
      </c>
      <c r="E36" t="s">
        <v>39</v>
      </c>
      <c r="F36" s="3">
        <v>20000</v>
      </c>
      <c r="G36">
        <v>0</v>
      </c>
      <c r="H36" t="s">
        <v>29</v>
      </c>
      <c r="I36" t="s">
        <v>25</v>
      </c>
      <c r="J36" t="s">
        <v>18</v>
      </c>
      <c r="K36">
        <v>2</v>
      </c>
      <c r="L36" t="s">
        <v>26</v>
      </c>
      <c r="M36" t="s">
        <v>17</v>
      </c>
      <c r="N36">
        <v>35</v>
      </c>
      <c r="O36" t="str" cm="1">
        <f t="array" ref="O36">_xlfn.IFS(N36&gt;=54,"old",N36&gt;=31,"middle age",N36&gt;=18,"adolsent",N36&lt;18,"invalid")</f>
        <v>middle age</v>
      </c>
      <c r="P36" t="s">
        <v>15</v>
      </c>
    </row>
    <row r="37" spans="3:16" x14ac:dyDescent="0.3">
      <c r="C37">
        <v>11538</v>
      </c>
      <c r="D37" t="s">
        <v>37</v>
      </c>
      <c r="E37" t="s">
        <v>39</v>
      </c>
      <c r="F37" s="3">
        <v>60000</v>
      </c>
      <c r="G37">
        <v>4</v>
      </c>
      <c r="H37" t="s">
        <v>31</v>
      </c>
      <c r="I37" t="s">
        <v>14</v>
      </c>
      <c r="J37" t="s">
        <v>18</v>
      </c>
      <c r="K37">
        <v>0</v>
      </c>
      <c r="L37" t="s">
        <v>16</v>
      </c>
      <c r="M37" t="s">
        <v>32</v>
      </c>
      <c r="N37">
        <v>47</v>
      </c>
      <c r="O37" t="str" cm="1">
        <f t="array" ref="O37">_xlfn.IFS(N37&gt;=54,"old",N37&gt;=31,"middle age",N37&gt;=18,"adolsent",N37&lt;18,"invalid")</f>
        <v>middle age</v>
      </c>
      <c r="P37" t="s">
        <v>15</v>
      </c>
    </row>
    <row r="38" spans="3:16" x14ac:dyDescent="0.3">
      <c r="C38">
        <v>11540</v>
      </c>
      <c r="D38" t="s">
        <v>37</v>
      </c>
      <c r="E38" t="s">
        <v>38</v>
      </c>
      <c r="F38" s="3">
        <v>60000</v>
      </c>
      <c r="G38">
        <v>4</v>
      </c>
      <c r="H38" t="s">
        <v>31</v>
      </c>
      <c r="I38" t="s">
        <v>14</v>
      </c>
      <c r="J38" t="s">
        <v>15</v>
      </c>
      <c r="K38">
        <v>0</v>
      </c>
      <c r="L38" t="s">
        <v>26</v>
      </c>
      <c r="M38" t="s">
        <v>32</v>
      </c>
      <c r="N38">
        <v>47</v>
      </c>
      <c r="O38" t="str" cm="1">
        <f t="array" ref="O38">_xlfn.IFS(N38&gt;=54,"old",N38&gt;=31,"middle age",N38&gt;=18,"adolsent",N38&lt;18,"invalid")</f>
        <v>middle age</v>
      </c>
      <c r="P38" t="s">
        <v>15</v>
      </c>
    </row>
    <row r="39" spans="3:16" x14ac:dyDescent="0.3">
      <c r="C39">
        <v>11555</v>
      </c>
      <c r="D39" t="s">
        <v>36</v>
      </c>
      <c r="E39" t="s">
        <v>39</v>
      </c>
      <c r="F39" s="3">
        <v>40000</v>
      </c>
      <c r="G39">
        <v>1</v>
      </c>
      <c r="H39" t="s">
        <v>13</v>
      </c>
      <c r="I39" t="s">
        <v>20</v>
      </c>
      <c r="J39" t="s">
        <v>15</v>
      </c>
      <c r="K39">
        <v>0</v>
      </c>
      <c r="L39" t="s">
        <v>16</v>
      </c>
      <c r="M39" t="s">
        <v>17</v>
      </c>
      <c r="N39">
        <v>80</v>
      </c>
      <c r="O39" t="str" cm="1">
        <f t="array" ref="O39">_xlfn.IFS(N39&gt;=54,"old",N39&gt;=31,"middle age",N39&gt;=18,"adolsent",N39&lt;18,"invalid")</f>
        <v>old</v>
      </c>
      <c r="P39" t="s">
        <v>18</v>
      </c>
    </row>
    <row r="40" spans="3:16" x14ac:dyDescent="0.3">
      <c r="C40">
        <v>11576</v>
      </c>
      <c r="D40" t="s">
        <v>36</v>
      </c>
      <c r="E40" t="s">
        <v>38</v>
      </c>
      <c r="F40" s="3">
        <v>30000</v>
      </c>
      <c r="G40">
        <v>1</v>
      </c>
      <c r="H40" t="s">
        <v>13</v>
      </c>
      <c r="I40" t="s">
        <v>14</v>
      </c>
      <c r="J40" t="s">
        <v>15</v>
      </c>
      <c r="K40">
        <v>2</v>
      </c>
      <c r="L40" t="s">
        <v>16</v>
      </c>
      <c r="M40" t="s">
        <v>17</v>
      </c>
      <c r="N40">
        <v>41</v>
      </c>
      <c r="O40" t="str" cm="1">
        <f t="array" ref="O40">_xlfn.IFS(N40&gt;=54,"old",N40&gt;=31,"middle age",N40&gt;=18,"adolsent",N40&lt;18,"invalid")</f>
        <v>middle age</v>
      </c>
      <c r="P40" t="s">
        <v>15</v>
      </c>
    </row>
    <row r="41" spans="3:16" x14ac:dyDescent="0.3">
      <c r="C41">
        <v>11585</v>
      </c>
      <c r="D41" t="s">
        <v>36</v>
      </c>
      <c r="E41" t="s">
        <v>39</v>
      </c>
      <c r="F41" s="3">
        <v>40000</v>
      </c>
      <c r="G41">
        <v>1</v>
      </c>
      <c r="H41" t="s">
        <v>13</v>
      </c>
      <c r="I41" t="s">
        <v>14</v>
      </c>
      <c r="J41" t="s">
        <v>15</v>
      </c>
      <c r="K41">
        <v>0</v>
      </c>
      <c r="L41" t="s">
        <v>16</v>
      </c>
      <c r="M41" t="s">
        <v>17</v>
      </c>
      <c r="N41">
        <v>41</v>
      </c>
      <c r="O41" t="str" cm="1">
        <f t="array" ref="O41">_xlfn.IFS(N41&gt;=54,"old",N41&gt;=31,"middle age",N41&gt;=18,"adolsent",N41&lt;18,"invalid")</f>
        <v>middle age</v>
      </c>
      <c r="P41" t="s">
        <v>18</v>
      </c>
    </row>
    <row r="42" spans="3:16" x14ac:dyDescent="0.3">
      <c r="C42">
        <v>11619</v>
      </c>
      <c r="D42" t="s">
        <v>37</v>
      </c>
      <c r="E42" t="s">
        <v>39</v>
      </c>
      <c r="F42" s="3">
        <v>50000</v>
      </c>
      <c r="G42">
        <v>0</v>
      </c>
      <c r="H42" t="s">
        <v>31</v>
      </c>
      <c r="I42" t="s">
        <v>14</v>
      </c>
      <c r="J42" t="s">
        <v>15</v>
      </c>
      <c r="K42">
        <v>0</v>
      </c>
      <c r="L42" t="s">
        <v>26</v>
      </c>
      <c r="M42" t="s">
        <v>32</v>
      </c>
      <c r="N42">
        <v>33</v>
      </c>
      <c r="O42" t="str" cm="1">
        <f t="array" ref="O42">_xlfn.IFS(N42&gt;=54,"old",N42&gt;=31,"middle age",N42&gt;=18,"adolsent",N42&lt;18,"invalid")</f>
        <v>middle age</v>
      </c>
      <c r="P42" t="s">
        <v>18</v>
      </c>
    </row>
    <row r="43" spans="3:16" x14ac:dyDescent="0.3">
      <c r="C43">
        <v>11622</v>
      </c>
      <c r="D43" t="s">
        <v>36</v>
      </c>
      <c r="E43" t="s">
        <v>38</v>
      </c>
      <c r="F43" s="3">
        <v>50000</v>
      </c>
      <c r="G43">
        <v>0</v>
      </c>
      <c r="H43" t="s">
        <v>31</v>
      </c>
      <c r="I43" t="s">
        <v>14</v>
      </c>
      <c r="J43" t="s">
        <v>15</v>
      </c>
      <c r="K43">
        <v>0</v>
      </c>
      <c r="L43" t="s">
        <v>16</v>
      </c>
      <c r="M43" t="s">
        <v>32</v>
      </c>
      <c r="N43">
        <v>32</v>
      </c>
      <c r="O43" t="str" cm="1">
        <f t="array" ref="O43">_xlfn.IFS(N43&gt;=54,"old",N43&gt;=31,"middle age",N43&gt;=18,"adolsent",N43&lt;18,"invalid")</f>
        <v>middle age</v>
      </c>
      <c r="P43" t="s">
        <v>18</v>
      </c>
    </row>
    <row r="44" spans="3:16" x14ac:dyDescent="0.3">
      <c r="C44">
        <v>11641</v>
      </c>
      <c r="D44" t="s">
        <v>36</v>
      </c>
      <c r="E44" t="s">
        <v>38</v>
      </c>
      <c r="F44" s="3">
        <v>50000</v>
      </c>
      <c r="G44">
        <v>1</v>
      </c>
      <c r="H44" t="s">
        <v>13</v>
      </c>
      <c r="I44" t="s">
        <v>14</v>
      </c>
      <c r="J44" t="s">
        <v>15</v>
      </c>
      <c r="K44">
        <v>0</v>
      </c>
      <c r="L44" t="s">
        <v>16</v>
      </c>
      <c r="M44" t="s">
        <v>32</v>
      </c>
      <c r="N44">
        <v>36</v>
      </c>
      <c r="O44" t="str" cm="1">
        <f t="array" ref="O44">_xlfn.IFS(N44&gt;=54,"old",N44&gt;=31,"middle age",N44&gt;=18,"adolsent",N44&lt;18,"invalid")</f>
        <v>middle age</v>
      </c>
      <c r="P44" t="s">
        <v>18</v>
      </c>
    </row>
    <row r="45" spans="3:16" x14ac:dyDescent="0.3">
      <c r="C45">
        <v>11644</v>
      </c>
      <c r="D45" t="s">
        <v>37</v>
      </c>
      <c r="E45" t="s">
        <v>38</v>
      </c>
      <c r="F45" s="3">
        <v>40000</v>
      </c>
      <c r="G45">
        <v>2</v>
      </c>
      <c r="H45" t="s">
        <v>13</v>
      </c>
      <c r="I45" t="s">
        <v>14</v>
      </c>
      <c r="J45" t="s">
        <v>15</v>
      </c>
      <c r="K45">
        <v>0</v>
      </c>
      <c r="L45" t="s">
        <v>22</v>
      </c>
      <c r="M45" t="s">
        <v>32</v>
      </c>
      <c r="N45">
        <v>36</v>
      </c>
      <c r="O45" t="str" cm="1">
        <f t="array" ref="O45">_xlfn.IFS(N45&gt;=54,"old",N45&gt;=31,"middle age",N45&gt;=18,"adolsent",N45&lt;18,"invalid")</f>
        <v>middle age</v>
      </c>
      <c r="P45" t="s">
        <v>18</v>
      </c>
    </row>
    <row r="46" spans="3:16" x14ac:dyDescent="0.3">
      <c r="C46">
        <v>11663</v>
      </c>
      <c r="D46" t="s">
        <v>36</v>
      </c>
      <c r="E46" t="s">
        <v>38</v>
      </c>
      <c r="F46" s="3">
        <v>70000</v>
      </c>
      <c r="G46">
        <v>4</v>
      </c>
      <c r="H46" t="s">
        <v>31</v>
      </c>
      <c r="I46" t="s">
        <v>21</v>
      </c>
      <c r="J46" t="s">
        <v>15</v>
      </c>
      <c r="K46">
        <v>0</v>
      </c>
      <c r="L46" t="s">
        <v>16</v>
      </c>
      <c r="M46" t="s">
        <v>32</v>
      </c>
      <c r="N46">
        <v>36</v>
      </c>
      <c r="O46" t="str" cm="1">
        <f t="array" ref="O46">_xlfn.IFS(N46&gt;=54,"old",N46&gt;=31,"middle age",N46&gt;=18,"adolsent",N46&lt;18,"invalid")</f>
        <v>middle age</v>
      </c>
      <c r="P46" t="s">
        <v>15</v>
      </c>
    </row>
    <row r="47" spans="3:16" x14ac:dyDescent="0.3">
      <c r="C47">
        <v>11669</v>
      </c>
      <c r="D47" t="s">
        <v>37</v>
      </c>
      <c r="E47" t="s">
        <v>39</v>
      </c>
      <c r="F47" s="3">
        <v>70000</v>
      </c>
      <c r="G47">
        <v>2</v>
      </c>
      <c r="H47" t="s">
        <v>13</v>
      </c>
      <c r="I47" t="s">
        <v>14</v>
      </c>
      <c r="J47" t="s">
        <v>15</v>
      </c>
      <c r="K47">
        <v>1</v>
      </c>
      <c r="L47" t="s">
        <v>22</v>
      </c>
      <c r="M47" t="s">
        <v>32</v>
      </c>
      <c r="N47">
        <v>38</v>
      </c>
      <c r="O47" t="str" cm="1">
        <f t="array" ref="O47">_xlfn.IFS(N47&gt;=54,"old",N47&gt;=31,"middle age",N47&gt;=18,"adolsent",N47&lt;18,"invalid")</f>
        <v>middle age</v>
      </c>
      <c r="P47" t="s">
        <v>18</v>
      </c>
    </row>
    <row r="48" spans="3:16" x14ac:dyDescent="0.3">
      <c r="C48">
        <v>11699</v>
      </c>
      <c r="D48" t="s">
        <v>37</v>
      </c>
      <c r="E48" t="s">
        <v>38</v>
      </c>
      <c r="F48" s="3">
        <v>60000</v>
      </c>
      <c r="G48">
        <v>0</v>
      </c>
      <c r="H48" t="s">
        <v>13</v>
      </c>
      <c r="I48" t="s">
        <v>14</v>
      </c>
      <c r="J48" t="s">
        <v>18</v>
      </c>
      <c r="K48">
        <v>2</v>
      </c>
      <c r="L48" t="s">
        <v>16</v>
      </c>
      <c r="M48" t="s">
        <v>32</v>
      </c>
      <c r="N48">
        <v>30</v>
      </c>
      <c r="O48" t="str" cm="1">
        <f t="array" ref="O48">_xlfn.IFS(N48&gt;=54,"old",N48&gt;=31,"middle age",N48&gt;=18,"adolsent",N48&lt;18,"invalid")</f>
        <v>adolsent</v>
      </c>
      <c r="P48" t="s">
        <v>18</v>
      </c>
    </row>
    <row r="49" spans="3:16" x14ac:dyDescent="0.3">
      <c r="C49">
        <v>11734</v>
      </c>
      <c r="D49" t="s">
        <v>36</v>
      </c>
      <c r="E49" t="s">
        <v>38</v>
      </c>
      <c r="F49" s="3">
        <v>60000</v>
      </c>
      <c r="G49">
        <v>1</v>
      </c>
      <c r="H49" t="s">
        <v>19</v>
      </c>
      <c r="I49" t="s">
        <v>14</v>
      </c>
      <c r="J49" t="s">
        <v>18</v>
      </c>
      <c r="K49">
        <v>1</v>
      </c>
      <c r="L49" t="s">
        <v>16</v>
      </c>
      <c r="M49" t="s">
        <v>32</v>
      </c>
      <c r="N49">
        <v>47</v>
      </c>
      <c r="O49" t="str" cm="1">
        <f t="array" ref="O49">_xlfn.IFS(N49&gt;=54,"old",N49&gt;=31,"middle age",N49&gt;=18,"adolsent",N49&lt;18,"invalid")</f>
        <v>middle age</v>
      </c>
      <c r="P49" t="s">
        <v>18</v>
      </c>
    </row>
    <row r="50" spans="3:16" x14ac:dyDescent="0.3">
      <c r="C50">
        <v>11738</v>
      </c>
      <c r="D50" t="s">
        <v>36</v>
      </c>
      <c r="E50" t="s">
        <v>38</v>
      </c>
      <c r="F50" s="3">
        <v>60000</v>
      </c>
      <c r="G50">
        <v>4</v>
      </c>
      <c r="H50" t="s">
        <v>13</v>
      </c>
      <c r="I50" t="s">
        <v>21</v>
      </c>
      <c r="J50" t="s">
        <v>15</v>
      </c>
      <c r="K50">
        <v>0</v>
      </c>
      <c r="L50" t="s">
        <v>22</v>
      </c>
      <c r="M50" t="s">
        <v>32</v>
      </c>
      <c r="N50">
        <v>46</v>
      </c>
      <c r="O50" t="str" cm="1">
        <f t="array" ref="O50">_xlfn.IFS(N50&gt;=54,"old",N50&gt;=31,"middle age",N50&gt;=18,"adolsent",N50&lt;18,"invalid")</f>
        <v>middle age</v>
      </c>
      <c r="P50" t="s">
        <v>18</v>
      </c>
    </row>
    <row r="51" spans="3:16" x14ac:dyDescent="0.3">
      <c r="C51">
        <v>11745</v>
      </c>
      <c r="D51" t="s">
        <v>36</v>
      </c>
      <c r="E51" t="s">
        <v>39</v>
      </c>
      <c r="F51" s="3">
        <v>60000</v>
      </c>
      <c r="G51">
        <v>1</v>
      </c>
      <c r="H51" t="s">
        <v>13</v>
      </c>
      <c r="I51" t="s">
        <v>21</v>
      </c>
      <c r="J51" t="s">
        <v>15</v>
      </c>
      <c r="K51">
        <v>1</v>
      </c>
      <c r="L51" t="s">
        <v>16</v>
      </c>
      <c r="M51" t="s">
        <v>32</v>
      </c>
      <c r="N51">
        <v>47</v>
      </c>
      <c r="O51" t="str" cm="1">
        <f t="array" ref="O51">_xlfn.IFS(N51&gt;=54,"old",N51&gt;=31,"middle age",N51&gt;=18,"adolsent",N51&lt;18,"invalid")</f>
        <v>middle age</v>
      </c>
      <c r="P51" t="s">
        <v>15</v>
      </c>
    </row>
    <row r="52" spans="3:16" x14ac:dyDescent="0.3">
      <c r="C52">
        <v>11783</v>
      </c>
      <c r="D52" t="s">
        <v>36</v>
      </c>
      <c r="E52" t="s">
        <v>39</v>
      </c>
      <c r="F52" s="3">
        <v>60000</v>
      </c>
      <c r="G52">
        <v>1</v>
      </c>
      <c r="H52" t="s">
        <v>31</v>
      </c>
      <c r="I52" t="s">
        <v>14</v>
      </c>
      <c r="J52" t="s">
        <v>15</v>
      </c>
      <c r="K52">
        <v>0</v>
      </c>
      <c r="L52" t="s">
        <v>16</v>
      </c>
      <c r="M52" t="s">
        <v>32</v>
      </c>
      <c r="N52">
        <v>34</v>
      </c>
      <c r="O52" t="str" cm="1">
        <f t="array" ref="O52">_xlfn.IFS(N52&gt;=54,"old",N52&gt;=31,"middle age",N52&gt;=18,"adolsent",N52&lt;18,"invalid")</f>
        <v>middle age</v>
      </c>
      <c r="P52" t="s">
        <v>18</v>
      </c>
    </row>
    <row r="53" spans="3:16" x14ac:dyDescent="0.3">
      <c r="C53">
        <v>11788</v>
      </c>
      <c r="D53" t="s">
        <v>37</v>
      </c>
      <c r="E53" t="s">
        <v>39</v>
      </c>
      <c r="F53" s="3">
        <v>70000</v>
      </c>
      <c r="G53">
        <v>1</v>
      </c>
      <c r="H53" t="s">
        <v>31</v>
      </c>
      <c r="I53" t="s">
        <v>21</v>
      </c>
      <c r="J53" t="s">
        <v>15</v>
      </c>
      <c r="K53">
        <v>0</v>
      </c>
      <c r="L53" t="s">
        <v>22</v>
      </c>
      <c r="M53" t="s">
        <v>32</v>
      </c>
      <c r="N53">
        <v>34</v>
      </c>
      <c r="O53" t="str" cm="1">
        <f t="array" ref="O53">_xlfn.IFS(N53&gt;=54,"old",N53&gt;=31,"middle age",N53&gt;=18,"adolsent",N53&lt;18,"invalid")</f>
        <v>middle age</v>
      </c>
      <c r="P53" t="s">
        <v>18</v>
      </c>
    </row>
    <row r="54" spans="3:16" x14ac:dyDescent="0.3">
      <c r="C54">
        <v>11801</v>
      </c>
      <c r="D54" t="s">
        <v>36</v>
      </c>
      <c r="E54" t="s">
        <v>38</v>
      </c>
      <c r="F54" s="3">
        <v>60000</v>
      </c>
      <c r="G54">
        <v>1</v>
      </c>
      <c r="H54" t="s">
        <v>31</v>
      </c>
      <c r="I54" t="s">
        <v>21</v>
      </c>
      <c r="J54" t="s">
        <v>15</v>
      </c>
      <c r="K54">
        <v>0</v>
      </c>
      <c r="L54" t="s">
        <v>22</v>
      </c>
      <c r="M54" t="s">
        <v>32</v>
      </c>
      <c r="N54">
        <v>36</v>
      </c>
      <c r="O54" t="str" cm="1">
        <f t="array" ref="O54">_xlfn.IFS(N54&gt;=54,"old",N54&gt;=31,"middle age",N54&gt;=18,"adolsent",N54&lt;18,"invalid")</f>
        <v>middle age</v>
      </c>
      <c r="P54" t="s">
        <v>18</v>
      </c>
    </row>
    <row r="55" spans="3:16" x14ac:dyDescent="0.3">
      <c r="C55">
        <v>11807</v>
      </c>
      <c r="D55" t="s">
        <v>36</v>
      </c>
      <c r="E55" t="s">
        <v>38</v>
      </c>
      <c r="F55" s="3">
        <v>70000</v>
      </c>
      <c r="G55">
        <v>3</v>
      </c>
      <c r="H55" t="s">
        <v>31</v>
      </c>
      <c r="I55" t="s">
        <v>21</v>
      </c>
      <c r="J55" t="s">
        <v>15</v>
      </c>
      <c r="K55">
        <v>0</v>
      </c>
      <c r="L55" t="s">
        <v>22</v>
      </c>
      <c r="M55" t="s">
        <v>32</v>
      </c>
      <c r="N55">
        <v>34</v>
      </c>
      <c r="O55" t="str" cm="1">
        <f t="array" ref="O55">_xlfn.IFS(N55&gt;=54,"old",N55&gt;=31,"middle age",N55&gt;=18,"adolsent",N55&lt;18,"invalid")</f>
        <v>middle age</v>
      </c>
      <c r="P55" t="s">
        <v>18</v>
      </c>
    </row>
    <row r="56" spans="3:16" x14ac:dyDescent="0.3">
      <c r="C56">
        <v>11809</v>
      </c>
      <c r="D56" t="s">
        <v>36</v>
      </c>
      <c r="E56" t="s">
        <v>38</v>
      </c>
      <c r="F56" s="3">
        <v>60000</v>
      </c>
      <c r="G56">
        <v>2</v>
      </c>
      <c r="H56" t="s">
        <v>13</v>
      </c>
      <c r="I56" t="s">
        <v>14</v>
      </c>
      <c r="J56" t="s">
        <v>15</v>
      </c>
      <c r="K56">
        <v>0</v>
      </c>
      <c r="L56" t="s">
        <v>16</v>
      </c>
      <c r="M56" t="s">
        <v>32</v>
      </c>
      <c r="N56">
        <v>38</v>
      </c>
      <c r="O56" t="str" cm="1">
        <f t="array" ref="O56">_xlfn.IFS(N56&gt;=54,"old",N56&gt;=31,"middle age",N56&gt;=18,"adolsent",N56&lt;18,"invalid")</f>
        <v>middle age</v>
      </c>
      <c r="P56" t="s">
        <v>15</v>
      </c>
    </row>
    <row r="57" spans="3:16" x14ac:dyDescent="0.3">
      <c r="C57">
        <v>11817</v>
      </c>
      <c r="D57" t="s">
        <v>37</v>
      </c>
      <c r="E57" t="s">
        <v>39</v>
      </c>
      <c r="F57" s="3">
        <v>70000</v>
      </c>
      <c r="G57">
        <v>4</v>
      </c>
      <c r="H57" t="s">
        <v>31</v>
      </c>
      <c r="I57" t="s">
        <v>21</v>
      </c>
      <c r="J57" t="s">
        <v>15</v>
      </c>
      <c r="K57">
        <v>0</v>
      </c>
      <c r="L57" t="s">
        <v>22</v>
      </c>
      <c r="M57" t="s">
        <v>32</v>
      </c>
      <c r="N57">
        <v>35</v>
      </c>
      <c r="O57" t="str" cm="1">
        <f t="array" ref="O57">_xlfn.IFS(N57&gt;=54,"old",N57&gt;=31,"middle age",N57&gt;=18,"adolsent",N57&lt;18,"invalid")</f>
        <v>middle age</v>
      </c>
      <c r="P57" t="s">
        <v>15</v>
      </c>
    </row>
    <row r="58" spans="3:16" x14ac:dyDescent="0.3">
      <c r="C58">
        <v>11823</v>
      </c>
      <c r="D58" t="s">
        <v>36</v>
      </c>
      <c r="E58" t="s">
        <v>39</v>
      </c>
      <c r="F58" s="3">
        <v>70000</v>
      </c>
      <c r="G58">
        <v>0</v>
      </c>
      <c r="H58" t="s">
        <v>31</v>
      </c>
      <c r="I58" t="s">
        <v>21</v>
      </c>
      <c r="J58" t="s">
        <v>15</v>
      </c>
      <c r="K58">
        <v>0</v>
      </c>
      <c r="L58" t="s">
        <v>22</v>
      </c>
      <c r="M58" t="s">
        <v>32</v>
      </c>
      <c r="N58">
        <v>39</v>
      </c>
      <c r="O58" t="str" cm="1">
        <f t="array" ref="O58">_xlfn.IFS(N58&gt;=54,"old",N58&gt;=31,"middle age",N58&gt;=18,"adolsent",N58&lt;18,"invalid")</f>
        <v>middle age</v>
      </c>
      <c r="P58" t="s">
        <v>18</v>
      </c>
    </row>
    <row r="59" spans="3:16" x14ac:dyDescent="0.3">
      <c r="C59">
        <v>11886</v>
      </c>
      <c r="D59" t="s">
        <v>36</v>
      </c>
      <c r="E59" t="s">
        <v>39</v>
      </c>
      <c r="F59" s="3">
        <v>60000</v>
      </c>
      <c r="G59">
        <v>3</v>
      </c>
      <c r="H59" t="s">
        <v>13</v>
      </c>
      <c r="I59" t="s">
        <v>21</v>
      </c>
      <c r="J59" t="s">
        <v>15</v>
      </c>
      <c r="K59">
        <v>1</v>
      </c>
      <c r="L59" t="s">
        <v>16</v>
      </c>
      <c r="M59" t="s">
        <v>32</v>
      </c>
      <c r="N59">
        <v>48</v>
      </c>
      <c r="O59" t="str" cm="1">
        <f t="array" ref="O59">_xlfn.IFS(N59&gt;=54,"old",N59&gt;=31,"middle age",N59&gt;=18,"adolsent",N59&lt;18,"invalid")</f>
        <v>middle age</v>
      </c>
      <c r="P59" t="s">
        <v>15</v>
      </c>
    </row>
    <row r="60" spans="3:16" x14ac:dyDescent="0.3">
      <c r="C60">
        <v>11890</v>
      </c>
      <c r="D60" t="s">
        <v>36</v>
      </c>
      <c r="E60" t="s">
        <v>39</v>
      </c>
      <c r="F60" s="3">
        <v>70000</v>
      </c>
      <c r="G60">
        <v>5</v>
      </c>
      <c r="H60" t="s">
        <v>31</v>
      </c>
      <c r="I60" t="s">
        <v>21</v>
      </c>
      <c r="J60" t="s">
        <v>15</v>
      </c>
      <c r="K60">
        <v>1</v>
      </c>
      <c r="L60" t="s">
        <v>16</v>
      </c>
      <c r="M60" t="s">
        <v>32</v>
      </c>
      <c r="N60">
        <v>47</v>
      </c>
      <c r="O60" t="str" cm="1">
        <f t="array" ref="O60">_xlfn.IFS(N60&gt;=54,"old",N60&gt;=31,"middle age",N60&gt;=18,"adolsent",N60&lt;18,"invalid")</f>
        <v>middle age</v>
      </c>
      <c r="P60" t="s">
        <v>18</v>
      </c>
    </row>
    <row r="61" spans="3:16" x14ac:dyDescent="0.3">
      <c r="C61">
        <v>11896</v>
      </c>
      <c r="D61" t="s">
        <v>36</v>
      </c>
      <c r="E61" t="s">
        <v>38</v>
      </c>
      <c r="F61" s="3">
        <v>100000</v>
      </c>
      <c r="G61">
        <v>1</v>
      </c>
      <c r="H61" t="s">
        <v>31</v>
      </c>
      <c r="I61" t="s">
        <v>28</v>
      </c>
      <c r="J61" t="s">
        <v>15</v>
      </c>
      <c r="K61">
        <v>0</v>
      </c>
      <c r="L61" t="s">
        <v>22</v>
      </c>
      <c r="M61" t="s">
        <v>24</v>
      </c>
      <c r="N61">
        <v>36</v>
      </c>
      <c r="O61" t="str" cm="1">
        <f t="array" ref="O61">_xlfn.IFS(N61&gt;=54,"old",N61&gt;=31,"middle age",N61&gt;=18,"adolsent",N61&lt;18,"invalid")</f>
        <v>middle age</v>
      </c>
      <c r="P61" t="s">
        <v>15</v>
      </c>
    </row>
    <row r="62" spans="3:16" x14ac:dyDescent="0.3">
      <c r="C62">
        <v>11897</v>
      </c>
      <c r="D62" t="s">
        <v>37</v>
      </c>
      <c r="E62" t="s">
        <v>38</v>
      </c>
      <c r="F62" s="3">
        <v>60000</v>
      </c>
      <c r="G62">
        <v>2</v>
      </c>
      <c r="H62" t="s">
        <v>13</v>
      </c>
      <c r="I62" t="s">
        <v>21</v>
      </c>
      <c r="J62" t="s">
        <v>18</v>
      </c>
      <c r="K62">
        <v>1</v>
      </c>
      <c r="L62" t="s">
        <v>16</v>
      </c>
      <c r="M62" t="s">
        <v>24</v>
      </c>
      <c r="N62">
        <v>37</v>
      </c>
      <c r="O62" t="str" cm="1">
        <f t="array" ref="O62">_xlfn.IFS(N62&gt;=54,"old",N62&gt;=31,"middle age",N62&gt;=18,"adolsent",N62&lt;18,"invalid")</f>
        <v>middle age</v>
      </c>
      <c r="P62" t="s">
        <v>15</v>
      </c>
    </row>
    <row r="63" spans="3:16" x14ac:dyDescent="0.3">
      <c r="C63">
        <v>11935</v>
      </c>
      <c r="D63" t="s">
        <v>37</v>
      </c>
      <c r="E63" t="s">
        <v>39</v>
      </c>
      <c r="F63" s="3">
        <v>30000</v>
      </c>
      <c r="G63">
        <v>0</v>
      </c>
      <c r="H63" t="s">
        <v>19</v>
      </c>
      <c r="I63" t="s">
        <v>14</v>
      </c>
      <c r="J63" t="s">
        <v>15</v>
      </c>
      <c r="K63">
        <v>1</v>
      </c>
      <c r="L63" t="s">
        <v>23</v>
      </c>
      <c r="M63" t="s">
        <v>32</v>
      </c>
      <c r="N63">
        <v>28</v>
      </c>
      <c r="O63" t="str" cm="1">
        <f t="array" ref="O63">_xlfn.IFS(N63&gt;=54,"old",N63&gt;=31,"middle age",N63&gt;=18,"adolsent",N63&lt;18,"invalid")</f>
        <v>adolsent</v>
      </c>
      <c r="P63" t="s">
        <v>18</v>
      </c>
    </row>
    <row r="64" spans="3:16" x14ac:dyDescent="0.3">
      <c r="C64">
        <v>11941</v>
      </c>
      <c r="D64" t="s">
        <v>37</v>
      </c>
      <c r="E64" t="s">
        <v>38</v>
      </c>
      <c r="F64" s="3">
        <v>60000</v>
      </c>
      <c r="G64">
        <v>0</v>
      </c>
      <c r="H64" t="s">
        <v>19</v>
      </c>
      <c r="I64" t="s">
        <v>14</v>
      </c>
      <c r="J64" t="s">
        <v>15</v>
      </c>
      <c r="K64">
        <v>0</v>
      </c>
      <c r="L64" t="s">
        <v>23</v>
      </c>
      <c r="M64" t="s">
        <v>32</v>
      </c>
      <c r="N64">
        <v>29</v>
      </c>
      <c r="O64" t="str" cm="1">
        <f t="array" ref="O64">_xlfn.IFS(N64&gt;=54,"old",N64&gt;=31,"middle age",N64&gt;=18,"adolsent",N64&lt;18,"invalid")</f>
        <v>adolsent</v>
      </c>
      <c r="P64" t="s">
        <v>18</v>
      </c>
    </row>
    <row r="65" spans="3:16" x14ac:dyDescent="0.3">
      <c r="C65">
        <v>12029</v>
      </c>
      <c r="D65" t="s">
        <v>36</v>
      </c>
      <c r="E65" t="s">
        <v>38</v>
      </c>
      <c r="F65" s="3">
        <v>30000</v>
      </c>
      <c r="G65">
        <v>0</v>
      </c>
      <c r="H65" t="s">
        <v>29</v>
      </c>
      <c r="I65" t="s">
        <v>20</v>
      </c>
      <c r="J65" t="s">
        <v>18</v>
      </c>
      <c r="K65">
        <v>2</v>
      </c>
      <c r="L65" t="s">
        <v>16</v>
      </c>
      <c r="M65" t="s">
        <v>32</v>
      </c>
      <c r="N65">
        <v>28</v>
      </c>
      <c r="O65" t="str" cm="1">
        <f t="array" ref="O65">_xlfn.IFS(N65&gt;=54,"old",N65&gt;=31,"middle age",N65&gt;=18,"adolsent",N65&lt;18,"invalid")</f>
        <v>adolsent</v>
      </c>
      <c r="P65" t="s">
        <v>18</v>
      </c>
    </row>
    <row r="66" spans="3:16" x14ac:dyDescent="0.3">
      <c r="C66">
        <v>12033</v>
      </c>
      <c r="D66" t="s">
        <v>37</v>
      </c>
      <c r="E66" t="s">
        <v>39</v>
      </c>
      <c r="F66" s="3">
        <v>40000</v>
      </c>
      <c r="G66">
        <v>0</v>
      </c>
      <c r="H66" t="s">
        <v>27</v>
      </c>
      <c r="I66" t="s">
        <v>14</v>
      </c>
      <c r="J66" t="s">
        <v>18</v>
      </c>
      <c r="K66">
        <v>2</v>
      </c>
      <c r="L66" t="s">
        <v>16</v>
      </c>
      <c r="M66" t="s">
        <v>32</v>
      </c>
      <c r="N66">
        <v>27</v>
      </c>
      <c r="O66" t="str" cm="1">
        <f t="array" ref="O66">_xlfn.IFS(N66&gt;=54,"old",N66&gt;=31,"middle age",N66&gt;=18,"adolsent",N66&lt;18,"invalid")</f>
        <v>adolsent</v>
      </c>
      <c r="P66" t="s">
        <v>15</v>
      </c>
    </row>
    <row r="67" spans="3:16" x14ac:dyDescent="0.3">
      <c r="C67">
        <v>12056</v>
      </c>
      <c r="D67" t="s">
        <v>36</v>
      </c>
      <c r="E67" t="s">
        <v>38</v>
      </c>
      <c r="F67" s="3">
        <v>120000</v>
      </c>
      <c r="G67">
        <v>2</v>
      </c>
      <c r="H67" t="s">
        <v>31</v>
      </c>
      <c r="I67" t="s">
        <v>28</v>
      </c>
      <c r="J67" t="s">
        <v>15</v>
      </c>
      <c r="K67">
        <v>3</v>
      </c>
      <c r="L67" t="s">
        <v>23</v>
      </c>
      <c r="M67" t="s">
        <v>32</v>
      </c>
      <c r="N67">
        <v>64</v>
      </c>
      <c r="O67" t="str" cm="1">
        <f t="array" ref="O67">_xlfn.IFS(N67&gt;=54,"old",N67&gt;=31,"middle age",N67&gt;=18,"adolsent",N67&lt;18,"invalid")</f>
        <v>old</v>
      </c>
      <c r="P67" t="s">
        <v>18</v>
      </c>
    </row>
    <row r="68" spans="3:16" x14ac:dyDescent="0.3">
      <c r="C68">
        <v>12100</v>
      </c>
      <c r="D68" t="s">
        <v>37</v>
      </c>
      <c r="E68" t="s">
        <v>38</v>
      </c>
      <c r="F68" s="3">
        <v>60000</v>
      </c>
      <c r="G68">
        <v>2</v>
      </c>
      <c r="H68" t="s">
        <v>13</v>
      </c>
      <c r="I68" t="s">
        <v>28</v>
      </c>
      <c r="J68" t="s">
        <v>15</v>
      </c>
      <c r="K68">
        <v>0</v>
      </c>
      <c r="L68" t="s">
        <v>30</v>
      </c>
      <c r="M68" t="s">
        <v>32</v>
      </c>
      <c r="N68">
        <v>57</v>
      </c>
      <c r="O68" t="str" cm="1">
        <f t="array" ref="O68">_xlfn.IFS(N68&gt;=54,"old",N68&gt;=31,"middle age",N68&gt;=18,"adolsent",N68&lt;18,"invalid")</f>
        <v>old</v>
      </c>
      <c r="P68" t="s">
        <v>18</v>
      </c>
    </row>
    <row r="69" spans="3:16" x14ac:dyDescent="0.3">
      <c r="C69">
        <v>12121</v>
      </c>
      <c r="D69" t="s">
        <v>37</v>
      </c>
      <c r="E69" t="s">
        <v>38</v>
      </c>
      <c r="F69" s="3">
        <v>60000</v>
      </c>
      <c r="G69">
        <v>3</v>
      </c>
      <c r="H69" t="s">
        <v>27</v>
      </c>
      <c r="I69" t="s">
        <v>21</v>
      </c>
      <c r="J69" t="s">
        <v>15</v>
      </c>
      <c r="K69">
        <v>2</v>
      </c>
      <c r="L69" t="s">
        <v>30</v>
      </c>
      <c r="M69" t="s">
        <v>32</v>
      </c>
      <c r="N69">
        <v>53</v>
      </c>
      <c r="O69" t="str" cm="1">
        <f t="array" ref="O69">_xlfn.IFS(N69&gt;=54,"old",N69&gt;=31,"middle age",N69&gt;=18,"adolsent",N69&lt;18,"invalid")</f>
        <v>middle age</v>
      </c>
      <c r="P69" t="s">
        <v>15</v>
      </c>
    </row>
    <row r="70" spans="3:16" x14ac:dyDescent="0.3">
      <c r="C70">
        <v>12133</v>
      </c>
      <c r="D70" t="s">
        <v>36</v>
      </c>
      <c r="E70" t="s">
        <v>39</v>
      </c>
      <c r="F70" s="3">
        <v>130000</v>
      </c>
      <c r="G70">
        <v>3</v>
      </c>
      <c r="H70" t="s">
        <v>19</v>
      </c>
      <c r="I70" t="s">
        <v>21</v>
      </c>
      <c r="J70" t="s">
        <v>15</v>
      </c>
      <c r="K70">
        <v>3</v>
      </c>
      <c r="L70" t="s">
        <v>23</v>
      </c>
      <c r="M70" t="s">
        <v>17</v>
      </c>
      <c r="N70">
        <v>50</v>
      </c>
      <c r="O70" t="str" cm="1">
        <f t="array" ref="O70">_xlfn.IFS(N70&gt;=54,"old",N70&gt;=31,"middle age",N70&gt;=18,"adolsent",N70&lt;18,"invalid")</f>
        <v>middle age</v>
      </c>
      <c r="P70" t="s">
        <v>15</v>
      </c>
    </row>
    <row r="71" spans="3:16" x14ac:dyDescent="0.3">
      <c r="C71">
        <v>12153</v>
      </c>
      <c r="D71" t="s">
        <v>37</v>
      </c>
      <c r="E71" t="s">
        <v>39</v>
      </c>
      <c r="F71" s="3">
        <v>70000</v>
      </c>
      <c r="G71">
        <v>3</v>
      </c>
      <c r="H71" t="s">
        <v>19</v>
      </c>
      <c r="I71" t="s">
        <v>21</v>
      </c>
      <c r="J71" t="s">
        <v>15</v>
      </c>
      <c r="K71">
        <v>1</v>
      </c>
      <c r="L71" t="s">
        <v>23</v>
      </c>
      <c r="M71" t="s">
        <v>32</v>
      </c>
      <c r="N71">
        <v>49</v>
      </c>
      <c r="O71" t="str" cm="1">
        <f t="array" ref="O71">_xlfn.IFS(N71&gt;=54,"old",N71&gt;=31,"middle age",N71&gt;=18,"adolsent",N71&lt;18,"invalid")</f>
        <v>middle age</v>
      </c>
      <c r="P71" t="s">
        <v>15</v>
      </c>
    </row>
    <row r="72" spans="3:16" x14ac:dyDescent="0.3">
      <c r="C72">
        <v>12192</v>
      </c>
      <c r="D72" t="s">
        <v>37</v>
      </c>
      <c r="E72" t="s">
        <v>39</v>
      </c>
      <c r="F72" s="3">
        <v>60000</v>
      </c>
      <c r="G72">
        <v>2</v>
      </c>
      <c r="H72" t="s">
        <v>29</v>
      </c>
      <c r="I72" t="s">
        <v>14</v>
      </c>
      <c r="J72" t="s">
        <v>18</v>
      </c>
      <c r="K72">
        <v>2</v>
      </c>
      <c r="L72" t="s">
        <v>26</v>
      </c>
      <c r="M72" t="s">
        <v>32</v>
      </c>
      <c r="N72">
        <v>51</v>
      </c>
      <c r="O72" t="str" cm="1">
        <f t="array" ref="O72">_xlfn.IFS(N72&gt;=54,"old",N72&gt;=31,"middle age",N72&gt;=18,"adolsent",N72&lt;18,"invalid")</f>
        <v>middle age</v>
      </c>
      <c r="P72" t="s">
        <v>18</v>
      </c>
    </row>
    <row r="73" spans="3:16" x14ac:dyDescent="0.3">
      <c r="C73">
        <v>12195</v>
      </c>
      <c r="D73" t="s">
        <v>37</v>
      </c>
      <c r="E73" t="s">
        <v>39</v>
      </c>
      <c r="F73" s="3">
        <v>70000</v>
      </c>
      <c r="G73">
        <v>3</v>
      </c>
      <c r="H73" t="s">
        <v>31</v>
      </c>
      <c r="I73" t="s">
        <v>28</v>
      </c>
      <c r="J73" t="s">
        <v>15</v>
      </c>
      <c r="K73">
        <v>2</v>
      </c>
      <c r="L73" t="s">
        <v>26</v>
      </c>
      <c r="M73" t="s">
        <v>32</v>
      </c>
      <c r="N73">
        <v>52</v>
      </c>
      <c r="O73" t="str" cm="1">
        <f t="array" ref="O73">_xlfn.IFS(N73&gt;=54,"old",N73&gt;=31,"middle age",N73&gt;=18,"adolsent",N73&lt;18,"invalid")</f>
        <v>middle age</v>
      </c>
      <c r="P73" t="s">
        <v>18</v>
      </c>
    </row>
    <row r="74" spans="3:16" x14ac:dyDescent="0.3">
      <c r="C74">
        <v>12205</v>
      </c>
      <c r="D74" t="s">
        <v>37</v>
      </c>
      <c r="E74" t="s">
        <v>39</v>
      </c>
      <c r="F74" s="3">
        <v>130000</v>
      </c>
      <c r="G74">
        <v>2</v>
      </c>
      <c r="H74" t="s">
        <v>13</v>
      </c>
      <c r="I74" t="s">
        <v>28</v>
      </c>
      <c r="J74" t="s">
        <v>18</v>
      </c>
      <c r="K74">
        <v>4</v>
      </c>
      <c r="L74" t="s">
        <v>16</v>
      </c>
      <c r="M74" t="s">
        <v>32</v>
      </c>
      <c r="N74">
        <v>67</v>
      </c>
      <c r="O74" t="str" cm="1">
        <f t="array" ref="O74">_xlfn.IFS(N74&gt;=54,"old",N74&gt;=31,"middle age",N74&gt;=18,"adolsent",N74&lt;18,"invalid")</f>
        <v>old</v>
      </c>
      <c r="P74" t="s">
        <v>18</v>
      </c>
    </row>
    <row r="75" spans="3:16" x14ac:dyDescent="0.3">
      <c r="C75">
        <v>12207</v>
      </c>
      <c r="D75" t="s">
        <v>37</v>
      </c>
      <c r="E75" t="s">
        <v>38</v>
      </c>
      <c r="F75" s="3">
        <v>80000</v>
      </c>
      <c r="G75">
        <v>4</v>
      </c>
      <c r="H75" t="s">
        <v>13</v>
      </c>
      <c r="I75" t="s">
        <v>28</v>
      </c>
      <c r="J75" t="s">
        <v>15</v>
      </c>
      <c r="K75">
        <v>0</v>
      </c>
      <c r="L75" t="s">
        <v>23</v>
      </c>
      <c r="M75" t="s">
        <v>32</v>
      </c>
      <c r="N75">
        <v>66</v>
      </c>
      <c r="O75" t="str" cm="1">
        <f t="array" ref="O75">_xlfn.IFS(N75&gt;=54,"old",N75&gt;=31,"middle age",N75&gt;=18,"adolsent",N75&lt;18,"invalid")</f>
        <v>old</v>
      </c>
      <c r="P75" t="s">
        <v>15</v>
      </c>
    </row>
    <row r="76" spans="3:16" x14ac:dyDescent="0.3">
      <c r="C76">
        <v>12212</v>
      </c>
      <c r="D76" t="s">
        <v>36</v>
      </c>
      <c r="E76" t="s">
        <v>39</v>
      </c>
      <c r="F76" s="3">
        <v>10000</v>
      </c>
      <c r="G76">
        <v>0</v>
      </c>
      <c r="H76" t="s">
        <v>31</v>
      </c>
      <c r="I76" t="s">
        <v>25</v>
      </c>
      <c r="J76" t="s">
        <v>15</v>
      </c>
      <c r="K76">
        <v>0</v>
      </c>
      <c r="L76" t="s">
        <v>16</v>
      </c>
      <c r="M76" t="s">
        <v>17</v>
      </c>
      <c r="N76">
        <v>37</v>
      </c>
      <c r="O76" t="str" cm="1">
        <f t="array" ref="O76">_xlfn.IFS(N76&gt;=54,"old",N76&gt;=31,"middle age",N76&gt;=18,"adolsent",N76&lt;18,"invalid")</f>
        <v>middle age</v>
      </c>
      <c r="P76" t="s">
        <v>15</v>
      </c>
    </row>
    <row r="77" spans="3:16" x14ac:dyDescent="0.3">
      <c r="C77">
        <v>12231</v>
      </c>
      <c r="D77" t="s">
        <v>37</v>
      </c>
      <c r="E77" t="s">
        <v>39</v>
      </c>
      <c r="F77" s="3">
        <v>10000</v>
      </c>
      <c r="G77">
        <v>2</v>
      </c>
      <c r="H77" t="s">
        <v>19</v>
      </c>
      <c r="I77" t="s">
        <v>25</v>
      </c>
      <c r="J77" t="s">
        <v>15</v>
      </c>
      <c r="K77">
        <v>0</v>
      </c>
      <c r="L77" t="s">
        <v>16</v>
      </c>
      <c r="M77" t="s">
        <v>17</v>
      </c>
      <c r="N77">
        <v>51</v>
      </c>
      <c r="O77" t="str" cm="1">
        <f t="array" ref="O77">_xlfn.IFS(N77&gt;=54,"old",N77&gt;=31,"middle age",N77&gt;=18,"adolsent",N77&lt;18,"invalid")</f>
        <v>middle age</v>
      </c>
      <c r="P77" t="s">
        <v>15</v>
      </c>
    </row>
    <row r="78" spans="3:16" x14ac:dyDescent="0.3">
      <c r="C78">
        <v>12234</v>
      </c>
      <c r="D78" t="s">
        <v>36</v>
      </c>
      <c r="E78" t="s">
        <v>38</v>
      </c>
      <c r="F78" s="3">
        <v>10000</v>
      </c>
      <c r="G78">
        <v>2</v>
      </c>
      <c r="H78" t="s">
        <v>19</v>
      </c>
      <c r="I78" t="s">
        <v>25</v>
      </c>
      <c r="J78" t="s">
        <v>15</v>
      </c>
      <c r="K78">
        <v>1</v>
      </c>
      <c r="L78" t="s">
        <v>22</v>
      </c>
      <c r="M78" t="s">
        <v>17</v>
      </c>
      <c r="N78">
        <v>52</v>
      </c>
      <c r="O78" t="str" cm="1">
        <f t="array" ref="O78">_xlfn.IFS(N78&gt;=54,"old",N78&gt;=31,"middle age",N78&gt;=18,"adolsent",N78&lt;18,"invalid")</f>
        <v>middle age</v>
      </c>
      <c r="P78" t="s">
        <v>18</v>
      </c>
    </row>
    <row r="79" spans="3:16" x14ac:dyDescent="0.3">
      <c r="C79">
        <v>12236</v>
      </c>
      <c r="D79" t="s">
        <v>36</v>
      </c>
      <c r="E79" t="s">
        <v>39</v>
      </c>
      <c r="F79" s="3">
        <v>20000</v>
      </c>
      <c r="G79">
        <v>1</v>
      </c>
      <c r="H79" t="s">
        <v>19</v>
      </c>
      <c r="I79" t="s">
        <v>25</v>
      </c>
      <c r="J79" t="s">
        <v>15</v>
      </c>
      <c r="K79">
        <v>0</v>
      </c>
      <c r="L79" t="s">
        <v>16</v>
      </c>
      <c r="M79" t="s">
        <v>17</v>
      </c>
      <c r="N79">
        <v>65</v>
      </c>
      <c r="O79" t="str" cm="1">
        <f t="array" ref="O79">_xlfn.IFS(N79&gt;=54,"old",N79&gt;=31,"middle age",N79&gt;=18,"adolsent",N79&lt;18,"invalid")</f>
        <v>old</v>
      </c>
      <c r="P79" t="s">
        <v>18</v>
      </c>
    </row>
    <row r="80" spans="3:16" x14ac:dyDescent="0.3">
      <c r="C80">
        <v>12253</v>
      </c>
      <c r="D80" t="s">
        <v>37</v>
      </c>
      <c r="E80" t="s">
        <v>39</v>
      </c>
      <c r="F80" s="3">
        <v>20000</v>
      </c>
      <c r="G80">
        <v>0</v>
      </c>
      <c r="H80" t="s">
        <v>19</v>
      </c>
      <c r="I80" t="s">
        <v>25</v>
      </c>
      <c r="J80" t="s">
        <v>15</v>
      </c>
      <c r="K80">
        <v>0</v>
      </c>
      <c r="L80" t="s">
        <v>16</v>
      </c>
      <c r="M80" t="s">
        <v>24</v>
      </c>
      <c r="N80">
        <v>29</v>
      </c>
      <c r="O80" t="str" cm="1">
        <f t="array" ref="O80">_xlfn.IFS(N80&gt;=54,"old",N80&gt;=31,"middle age",N80&gt;=18,"adolsent",N80&lt;18,"invalid")</f>
        <v>adolsent</v>
      </c>
      <c r="P80" t="s">
        <v>15</v>
      </c>
    </row>
    <row r="81" spans="3:16" x14ac:dyDescent="0.3">
      <c r="C81">
        <v>12273</v>
      </c>
      <c r="D81" t="s">
        <v>36</v>
      </c>
      <c r="E81" t="s">
        <v>38</v>
      </c>
      <c r="F81" s="3">
        <v>30000</v>
      </c>
      <c r="G81">
        <v>1</v>
      </c>
      <c r="H81" t="s">
        <v>13</v>
      </c>
      <c r="I81" t="s">
        <v>20</v>
      </c>
      <c r="J81" t="s">
        <v>15</v>
      </c>
      <c r="K81">
        <v>0</v>
      </c>
      <c r="L81" t="s">
        <v>16</v>
      </c>
      <c r="M81" t="s">
        <v>17</v>
      </c>
      <c r="N81">
        <v>47</v>
      </c>
      <c r="O81" t="str" cm="1">
        <f t="array" ref="O81">_xlfn.IFS(N81&gt;=54,"old",N81&gt;=31,"middle age",N81&gt;=18,"adolsent",N81&lt;18,"invalid")</f>
        <v>middle age</v>
      </c>
      <c r="P81" t="s">
        <v>18</v>
      </c>
    </row>
    <row r="82" spans="3:16" x14ac:dyDescent="0.3">
      <c r="C82">
        <v>12274</v>
      </c>
      <c r="D82" t="s">
        <v>37</v>
      </c>
      <c r="E82" t="s">
        <v>38</v>
      </c>
      <c r="F82" s="3">
        <v>10000</v>
      </c>
      <c r="G82">
        <v>2</v>
      </c>
      <c r="H82" t="s">
        <v>27</v>
      </c>
      <c r="I82" t="s">
        <v>25</v>
      </c>
      <c r="J82" t="s">
        <v>15</v>
      </c>
      <c r="K82">
        <v>0</v>
      </c>
      <c r="L82" t="s">
        <v>16</v>
      </c>
      <c r="M82" t="s">
        <v>17</v>
      </c>
      <c r="N82">
        <v>35</v>
      </c>
      <c r="O82" t="str" cm="1">
        <f t="array" ref="O82">_xlfn.IFS(N82&gt;=54,"old",N82&gt;=31,"middle age",N82&gt;=18,"adolsent",N82&lt;18,"invalid")</f>
        <v>middle age</v>
      </c>
      <c r="P82" t="s">
        <v>18</v>
      </c>
    </row>
    <row r="83" spans="3:16" x14ac:dyDescent="0.3">
      <c r="C83">
        <v>12284</v>
      </c>
      <c r="D83" t="s">
        <v>36</v>
      </c>
      <c r="E83" t="s">
        <v>39</v>
      </c>
      <c r="F83" s="3">
        <v>30000</v>
      </c>
      <c r="G83">
        <v>0</v>
      </c>
      <c r="H83" t="s">
        <v>13</v>
      </c>
      <c r="I83" t="s">
        <v>20</v>
      </c>
      <c r="J83" t="s">
        <v>18</v>
      </c>
      <c r="K83">
        <v>0</v>
      </c>
      <c r="L83" t="s">
        <v>16</v>
      </c>
      <c r="M83" t="s">
        <v>17</v>
      </c>
      <c r="N83">
        <v>36</v>
      </c>
      <c r="O83" t="str" cm="1">
        <f t="array" ref="O83">_xlfn.IFS(N83&gt;=54,"old",N83&gt;=31,"middle age",N83&gt;=18,"adolsent",N83&lt;18,"invalid")</f>
        <v>middle age</v>
      </c>
      <c r="P83" t="s">
        <v>15</v>
      </c>
    </row>
    <row r="84" spans="3:16" x14ac:dyDescent="0.3">
      <c r="C84">
        <v>12291</v>
      </c>
      <c r="D84" t="s">
        <v>37</v>
      </c>
      <c r="E84" t="s">
        <v>38</v>
      </c>
      <c r="F84" s="3">
        <v>90000</v>
      </c>
      <c r="G84">
        <v>5</v>
      </c>
      <c r="H84" t="s">
        <v>19</v>
      </c>
      <c r="I84" t="s">
        <v>21</v>
      </c>
      <c r="J84" t="s">
        <v>18</v>
      </c>
      <c r="K84">
        <v>2</v>
      </c>
      <c r="L84" t="s">
        <v>22</v>
      </c>
      <c r="M84" t="s">
        <v>17</v>
      </c>
      <c r="N84">
        <v>62</v>
      </c>
      <c r="O84" t="str" cm="1">
        <f t="array" ref="O84">_xlfn.IFS(N84&gt;=54,"old",N84&gt;=31,"middle age",N84&gt;=18,"adolsent",N84&lt;18,"invalid")</f>
        <v>old</v>
      </c>
      <c r="P84" t="s">
        <v>15</v>
      </c>
    </row>
    <row r="85" spans="3:16" x14ac:dyDescent="0.3">
      <c r="C85">
        <v>12332</v>
      </c>
      <c r="D85" t="s">
        <v>36</v>
      </c>
      <c r="E85" t="s">
        <v>38</v>
      </c>
      <c r="F85" s="3">
        <v>90000</v>
      </c>
      <c r="G85">
        <v>4</v>
      </c>
      <c r="H85" t="s">
        <v>27</v>
      </c>
      <c r="I85" t="s">
        <v>28</v>
      </c>
      <c r="J85" t="s">
        <v>15</v>
      </c>
      <c r="K85">
        <v>3</v>
      </c>
      <c r="L85" t="s">
        <v>23</v>
      </c>
      <c r="M85" t="s">
        <v>17</v>
      </c>
      <c r="N85">
        <v>58</v>
      </c>
      <c r="O85" t="str" cm="1">
        <f t="array" ref="O85">_xlfn.IFS(N85&gt;=54,"old",N85&gt;=31,"middle age",N85&gt;=18,"adolsent",N85&lt;18,"invalid")</f>
        <v>old</v>
      </c>
      <c r="P85" t="s">
        <v>15</v>
      </c>
    </row>
    <row r="86" spans="3:16" x14ac:dyDescent="0.3">
      <c r="C86">
        <v>12344</v>
      </c>
      <c r="D86" t="s">
        <v>37</v>
      </c>
      <c r="E86" t="s">
        <v>39</v>
      </c>
      <c r="F86" s="3">
        <v>80000</v>
      </c>
      <c r="G86">
        <v>0</v>
      </c>
      <c r="H86" t="s">
        <v>13</v>
      </c>
      <c r="I86" t="s">
        <v>21</v>
      </c>
      <c r="J86" t="s">
        <v>18</v>
      </c>
      <c r="K86">
        <v>3</v>
      </c>
      <c r="L86" t="s">
        <v>30</v>
      </c>
      <c r="M86" t="s">
        <v>24</v>
      </c>
      <c r="N86">
        <v>31</v>
      </c>
      <c r="O86" t="str" cm="1">
        <f t="array" ref="O86">_xlfn.IFS(N86&gt;=54,"old",N86&gt;=31,"middle age",N86&gt;=18,"adolsent",N86&lt;18,"invalid")</f>
        <v>middle age</v>
      </c>
      <c r="P86" t="s">
        <v>18</v>
      </c>
    </row>
    <row r="87" spans="3:16" x14ac:dyDescent="0.3">
      <c r="C87">
        <v>12389</v>
      </c>
      <c r="D87" t="s">
        <v>37</v>
      </c>
      <c r="E87" t="s">
        <v>38</v>
      </c>
      <c r="F87" s="3">
        <v>30000</v>
      </c>
      <c r="G87">
        <v>0</v>
      </c>
      <c r="H87" t="s">
        <v>27</v>
      </c>
      <c r="I87" t="s">
        <v>25</v>
      </c>
      <c r="J87" t="s">
        <v>18</v>
      </c>
      <c r="K87">
        <v>1</v>
      </c>
      <c r="L87" t="s">
        <v>22</v>
      </c>
      <c r="M87" t="s">
        <v>17</v>
      </c>
      <c r="N87">
        <v>34</v>
      </c>
      <c r="O87" t="str" cm="1">
        <f t="array" ref="O87">_xlfn.IFS(N87&gt;=54,"old",N87&gt;=31,"middle age",N87&gt;=18,"adolsent",N87&lt;18,"invalid")</f>
        <v>middle age</v>
      </c>
      <c r="P87" t="s">
        <v>18</v>
      </c>
    </row>
    <row r="88" spans="3:16" x14ac:dyDescent="0.3">
      <c r="C88">
        <v>12452</v>
      </c>
      <c r="D88" t="s">
        <v>36</v>
      </c>
      <c r="E88" t="s">
        <v>38</v>
      </c>
      <c r="F88" s="3">
        <v>60000</v>
      </c>
      <c r="G88">
        <v>4</v>
      </c>
      <c r="H88" t="s">
        <v>31</v>
      </c>
      <c r="I88" t="s">
        <v>14</v>
      </c>
      <c r="J88" t="s">
        <v>15</v>
      </c>
      <c r="K88">
        <v>0</v>
      </c>
      <c r="L88" t="s">
        <v>26</v>
      </c>
      <c r="M88" t="s">
        <v>32</v>
      </c>
      <c r="N88">
        <v>47</v>
      </c>
      <c r="O88" t="str" cm="1">
        <f t="array" ref="O88">_xlfn.IFS(N88&gt;=54,"old",N88&gt;=31,"middle age",N88&gt;=18,"adolsent",N88&lt;18,"invalid")</f>
        <v>middle age</v>
      </c>
      <c r="P88" t="s">
        <v>15</v>
      </c>
    </row>
    <row r="89" spans="3:16" x14ac:dyDescent="0.3">
      <c r="C89">
        <v>12472</v>
      </c>
      <c r="D89" t="s">
        <v>36</v>
      </c>
      <c r="E89" t="s">
        <v>38</v>
      </c>
      <c r="F89" s="3">
        <v>30000</v>
      </c>
      <c r="G89">
        <v>1</v>
      </c>
      <c r="H89" t="s">
        <v>13</v>
      </c>
      <c r="I89" t="s">
        <v>20</v>
      </c>
      <c r="J89" t="s">
        <v>15</v>
      </c>
      <c r="K89">
        <v>1</v>
      </c>
      <c r="L89" t="s">
        <v>22</v>
      </c>
      <c r="M89" t="s">
        <v>17</v>
      </c>
      <c r="N89">
        <v>39</v>
      </c>
      <c r="O89" t="str" cm="1">
        <f t="array" ref="O89">_xlfn.IFS(N89&gt;=54,"old",N89&gt;=31,"middle age",N89&gt;=18,"adolsent",N89&lt;18,"invalid")</f>
        <v>middle age</v>
      </c>
      <c r="P89" t="s">
        <v>18</v>
      </c>
    </row>
    <row r="90" spans="3:16" x14ac:dyDescent="0.3">
      <c r="C90">
        <v>12496</v>
      </c>
      <c r="D90" t="s">
        <v>36</v>
      </c>
      <c r="E90" t="s">
        <v>39</v>
      </c>
      <c r="F90" s="3">
        <v>40000</v>
      </c>
      <c r="G90">
        <v>1</v>
      </c>
      <c r="H90" t="s">
        <v>13</v>
      </c>
      <c r="I90" t="s">
        <v>14</v>
      </c>
      <c r="J90" t="s">
        <v>15</v>
      </c>
      <c r="K90">
        <v>0</v>
      </c>
      <c r="L90" t="s">
        <v>16</v>
      </c>
      <c r="M90" t="s">
        <v>17</v>
      </c>
      <c r="N90">
        <v>42</v>
      </c>
      <c r="O90" t="str" cm="1">
        <f t="array" ref="O90">_xlfn.IFS(N90&gt;=54,"old",N90&gt;=31,"middle age",N90&gt;=18,"adolsent",N90&lt;18,"invalid")</f>
        <v>middle age</v>
      </c>
      <c r="P90" t="s">
        <v>18</v>
      </c>
    </row>
    <row r="91" spans="3:16" x14ac:dyDescent="0.3">
      <c r="C91">
        <v>12497</v>
      </c>
      <c r="D91" t="s">
        <v>36</v>
      </c>
      <c r="E91" t="s">
        <v>39</v>
      </c>
      <c r="F91" s="3">
        <v>40000</v>
      </c>
      <c r="G91">
        <v>1</v>
      </c>
      <c r="H91" t="s">
        <v>13</v>
      </c>
      <c r="I91" t="s">
        <v>14</v>
      </c>
      <c r="J91" t="s">
        <v>15</v>
      </c>
      <c r="K91">
        <v>0</v>
      </c>
      <c r="L91" t="s">
        <v>16</v>
      </c>
      <c r="M91" t="s">
        <v>17</v>
      </c>
      <c r="N91">
        <v>42</v>
      </c>
      <c r="O91" t="str" cm="1">
        <f t="array" ref="O91">_xlfn.IFS(N91&gt;=54,"old",N91&gt;=31,"middle age",N91&gt;=18,"adolsent",N91&lt;18,"invalid")</f>
        <v>middle age</v>
      </c>
      <c r="P91" t="s">
        <v>18</v>
      </c>
    </row>
    <row r="92" spans="3:16" x14ac:dyDescent="0.3">
      <c r="C92">
        <v>12503</v>
      </c>
      <c r="D92" t="s">
        <v>37</v>
      </c>
      <c r="E92" t="s">
        <v>39</v>
      </c>
      <c r="F92" s="3">
        <v>30000</v>
      </c>
      <c r="G92">
        <v>3</v>
      </c>
      <c r="H92" t="s">
        <v>19</v>
      </c>
      <c r="I92" t="s">
        <v>20</v>
      </c>
      <c r="J92" t="s">
        <v>15</v>
      </c>
      <c r="K92">
        <v>2</v>
      </c>
      <c r="L92" t="s">
        <v>16</v>
      </c>
      <c r="M92" t="s">
        <v>17</v>
      </c>
      <c r="N92">
        <v>27</v>
      </c>
      <c r="O92" t="str" cm="1">
        <f t="array" ref="O92">_xlfn.IFS(N92&gt;=54,"old",N92&gt;=31,"middle age",N92&gt;=18,"adolsent",N92&lt;18,"invalid")</f>
        <v>adolsent</v>
      </c>
      <c r="P92" t="s">
        <v>18</v>
      </c>
    </row>
    <row r="93" spans="3:16" x14ac:dyDescent="0.3">
      <c r="C93">
        <v>12507</v>
      </c>
      <c r="D93" t="s">
        <v>36</v>
      </c>
      <c r="E93" t="s">
        <v>38</v>
      </c>
      <c r="F93" s="3">
        <v>30000</v>
      </c>
      <c r="G93">
        <v>1</v>
      </c>
      <c r="H93" t="s">
        <v>19</v>
      </c>
      <c r="I93" t="s">
        <v>20</v>
      </c>
      <c r="J93" t="s">
        <v>15</v>
      </c>
      <c r="K93">
        <v>1</v>
      </c>
      <c r="L93" t="s">
        <v>16</v>
      </c>
      <c r="M93" t="s">
        <v>17</v>
      </c>
      <c r="N93">
        <v>43</v>
      </c>
      <c r="O93" t="str" cm="1">
        <f t="array" ref="O93">_xlfn.IFS(N93&gt;=54,"old",N93&gt;=31,"middle age",N93&gt;=18,"adolsent",N93&lt;18,"invalid")</f>
        <v>middle age</v>
      </c>
      <c r="P93" t="s">
        <v>18</v>
      </c>
    </row>
    <row r="94" spans="3:16" x14ac:dyDescent="0.3">
      <c r="C94">
        <v>12510</v>
      </c>
      <c r="D94" t="s">
        <v>36</v>
      </c>
      <c r="E94" t="s">
        <v>38</v>
      </c>
      <c r="F94" s="3">
        <v>40000</v>
      </c>
      <c r="G94">
        <v>1</v>
      </c>
      <c r="H94" t="s">
        <v>13</v>
      </c>
      <c r="I94" t="s">
        <v>14</v>
      </c>
      <c r="J94" t="s">
        <v>15</v>
      </c>
      <c r="K94">
        <v>1</v>
      </c>
      <c r="L94" t="s">
        <v>16</v>
      </c>
      <c r="M94" t="s">
        <v>17</v>
      </c>
      <c r="N94">
        <v>43</v>
      </c>
      <c r="O94" t="str" cm="1">
        <f t="array" ref="O94">_xlfn.IFS(N94&gt;=54,"old",N94&gt;=31,"middle age",N94&gt;=18,"adolsent",N94&lt;18,"invalid")</f>
        <v>middle age</v>
      </c>
      <c r="P94" t="s">
        <v>15</v>
      </c>
    </row>
    <row r="95" spans="3:16" x14ac:dyDescent="0.3">
      <c r="C95">
        <v>12558</v>
      </c>
      <c r="D95" t="s">
        <v>36</v>
      </c>
      <c r="E95" t="s">
        <v>39</v>
      </c>
      <c r="F95" s="3">
        <v>20000</v>
      </c>
      <c r="G95">
        <v>1</v>
      </c>
      <c r="H95" t="s">
        <v>13</v>
      </c>
      <c r="I95" t="s">
        <v>20</v>
      </c>
      <c r="J95" t="s">
        <v>15</v>
      </c>
      <c r="K95">
        <v>0</v>
      </c>
      <c r="L95" t="s">
        <v>16</v>
      </c>
      <c r="M95" t="s">
        <v>17</v>
      </c>
      <c r="N95">
        <v>65</v>
      </c>
      <c r="O95" t="str" cm="1">
        <f t="array" ref="O95">_xlfn.IFS(N95&gt;=54,"old",N95&gt;=31,"middle age",N95&gt;=18,"adolsent",N95&lt;18,"invalid")</f>
        <v>old</v>
      </c>
      <c r="P95" t="s">
        <v>18</v>
      </c>
    </row>
    <row r="96" spans="3:16" x14ac:dyDescent="0.3">
      <c r="C96">
        <v>12568</v>
      </c>
      <c r="D96" t="s">
        <v>36</v>
      </c>
      <c r="E96" t="s">
        <v>39</v>
      </c>
      <c r="F96" s="3">
        <v>30000</v>
      </c>
      <c r="G96">
        <v>1</v>
      </c>
      <c r="H96" t="s">
        <v>13</v>
      </c>
      <c r="I96" t="s">
        <v>20</v>
      </c>
      <c r="J96" t="s">
        <v>15</v>
      </c>
      <c r="K96">
        <v>0</v>
      </c>
      <c r="L96" t="s">
        <v>16</v>
      </c>
      <c r="M96" t="s">
        <v>17</v>
      </c>
      <c r="N96">
        <v>64</v>
      </c>
      <c r="O96" t="str" cm="1">
        <f t="array" ref="O96">_xlfn.IFS(N96&gt;=54,"old",N96&gt;=31,"middle age",N96&gt;=18,"adolsent",N96&lt;18,"invalid")</f>
        <v>old</v>
      </c>
      <c r="P96" t="s">
        <v>18</v>
      </c>
    </row>
    <row r="97" spans="3:16" x14ac:dyDescent="0.3">
      <c r="C97">
        <v>12581</v>
      </c>
      <c r="D97" t="s">
        <v>37</v>
      </c>
      <c r="E97" t="s">
        <v>39</v>
      </c>
      <c r="F97" s="3">
        <v>10000</v>
      </c>
      <c r="G97">
        <v>0</v>
      </c>
      <c r="H97" t="s">
        <v>19</v>
      </c>
      <c r="I97" t="s">
        <v>25</v>
      </c>
      <c r="J97" t="s">
        <v>18</v>
      </c>
      <c r="K97">
        <v>1</v>
      </c>
      <c r="L97" t="s">
        <v>16</v>
      </c>
      <c r="M97" t="s">
        <v>24</v>
      </c>
      <c r="N97">
        <v>28</v>
      </c>
      <c r="O97" t="str" cm="1">
        <f t="array" ref="O97">_xlfn.IFS(N97&gt;=54,"old",N97&gt;=31,"middle age",N97&gt;=18,"adolsent",N97&lt;18,"invalid")</f>
        <v>adolsent</v>
      </c>
      <c r="P97" t="s">
        <v>15</v>
      </c>
    </row>
    <row r="98" spans="3:16" x14ac:dyDescent="0.3">
      <c r="C98">
        <v>12585</v>
      </c>
      <c r="D98" t="s">
        <v>36</v>
      </c>
      <c r="E98" t="s">
        <v>38</v>
      </c>
      <c r="F98" s="3">
        <v>10000</v>
      </c>
      <c r="G98">
        <v>1</v>
      </c>
      <c r="H98" t="s">
        <v>27</v>
      </c>
      <c r="I98" t="s">
        <v>25</v>
      </c>
      <c r="J98" t="s">
        <v>15</v>
      </c>
      <c r="K98">
        <v>0</v>
      </c>
      <c r="L98" t="s">
        <v>22</v>
      </c>
      <c r="M98" t="s">
        <v>24</v>
      </c>
      <c r="N98">
        <v>27</v>
      </c>
      <c r="O98" t="str" cm="1">
        <f t="array" ref="O98">_xlfn.IFS(N98&gt;=54,"old",N98&gt;=31,"middle age",N98&gt;=18,"adolsent",N98&lt;18,"invalid")</f>
        <v>adolsent</v>
      </c>
      <c r="P98" t="s">
        <v>15</v>
      </c>
    </row>
    <row r="99" spans="3:16" x14ac:dyDescent="0.3">
      <c r="C99">
        <v>12590</v>
      </c>
      <c r="D99" t="s">
        <v>37</v>
      </c>
      <c r="E99" t="s">
        <v>38</v>
      </c>
      <c r="F99" s="3">
        <v>30000</v>
      </c>
      <c r="G99">
        <v>1</v>
      </c>
      <c r="H99" t="s">
        <v>13</v>
      </c>
      <c r="I99" t="s">
        <v>20</v>
      </c>
      <c r="J99" t="s">
        <v>15</v>
      </c>
      <c r="K99">
        <v>0</v>
      </c>
      <c r="L99" t="s">
        <v>16</v>
      </c>
      <c r="M99" t="s">
        <v>17</v>
      </c>
      <c r="N99">
        <v>63</v>
      </c>
      <c r="O99" t="str" cm="1">
        <f t="array" ref="O99">_xlfn.IFS(N99&gt;=54,"old",N99&gt;=31,"middle age",N99&gt;=18,"adolsent",N99&lt;18,"invalid")</f>
        <v>old</v>
      </c>
      <c r="P99" t="s">
        <v>18</v>
      </c>
    </row>
    <row r="100" spans="3:16" x14ac:dyDescent="0.3">
      <c r="C100">
        <v>12591</v>
      </c>
      <c r="D100" t="s">
        <v>36</v>
      </c>
      <c r="E100" t="s">
        <v>39</v>
      </c>
      <c r="F100" s="3">
        <v>30000</v>
      </c>
      <c r="G100">
        <v>4</v>
      </c>
      <c r="H100" t="s">
        <v>31</v>
      </c>
      <c r="I100" t="s">
        <v>20</v>
      </c>
      <c r="J100" t="s">
        <v>15</v>
      </c>
      <c r="K100">
        <v>0</v>
      </c>
      <c r="L100" t="s">
        <v>16</v>
      </c>
      <c r="M100" t="s">
        <v>17</v>
      </c>
      <c r="N100">
        <v>45</v>
      </c>
      <c r="O100" t="str" cm="1">
        <f t="array" ref="O100">_xlfn.IFS(N100&gt;=54,"old",N100&gt;=31,"middle age",N100&gt;=18,"adolsent",N100&lt;18,"invalid")</f>
        <v>middle age</v>
      </c>
      <c r="P100" t="s">
        <v>18</v>
      </c>
    </row>
    <row r="101" spans="3:16" x14ac:dyDescent="0.3">
      <c r="C101">
        <v>12610</v>
      </c>
      <c r="D101" t="s">
        <v>36</v>
      </c>
      <c r="E101" t="s">
        <v>39</v>
      </c>
      <c r="F101" s="3">
        <v>30000</v>
      </c>
      <c r="G101">
        <v>1</v>
      </c>
      <c r="H101" t="s">
        <v>13</v>
      </c>
      <c r="I101" t="s">
        <v>20</v>
      </c>
      <c r="J101" t="s">
        <v>15</v>
      </c>
      <c r="K101">
        <v>0</v>
      </c>
      <c r="L101" t="s">
        <v>16</v>
      </c>
      <c r="M101" t="s">
        <v>17</v>
      </c>
      <c r="N101">
        <v>47</v>
      </c>
      <c r="O101" t="str" cm="1">
        <f t="array" ref="O101">_xlfn.IFS(N101&gt;=54,"old",N101&gt;=31,"middle age",N101&gt;=18,"adolsent",N101&lt;18,"invalid")</f>
        <v>middle age</v>
      </c>
      <c r="P101" t="s">
        <v>18</v>
      </c>
    </row>
    <row r="102" spans="3:16" x14ac:dyDescent="0.3">
      <c r="C102">
        <v>12629</v>
      </c>
      <c r="D102" t="s">
        <v>37</v>
      </c>
      <c r="E102" t="s">
        <v>38</v>
      </c>
      <c r="F102" s="3">
        <v>20000</v>
      </c>
      <c r="G102">
        <v>1</v>
      </c>
      <c r="H102" t="s">
        <v>19</v>
      </c>
      <c r="I102" t="s">
        <v>25</v>
      </c>
      <c r="J102" t="s">
        <v>18</v>
      </c>
      <c r="K102">
        <v>0</v>
      </c>
      <c r="L102" t="s">
        <v>16</v>
      </c>
      <c r="M102" t="s">
        <v>17</v>
      </c>
      <c r="N102">
        <v>37</v>
      </c>
      <c r="O102" t="str" cm="1">
        <f t="array" ref="O102">_xlfn.IFS(N102&gt;=54,"old",N102&gt;=31,"middle age",N102&gt;=18,"adolsent",N102&lt;18,"invalid")</f>
        <v>middle age</v>
      </c>
      <c r="P102" t="s">
        <v>18</v>
      </c>
    </row>
    <row r="103" spans="3:16" x14ac:dyDescent="0.3">
      <c r="C103">
        <v>12663</v>
      </c>
      <c r="D103" t="s">
        <v>36</v>
      </c>
      <c r="E103" t="s">
        <v>39</v>
      </c>
      <c r="F103" s="3">
        <v>90000</v>
      </c>
      <c r="G103">
        <v>5</v>
      </c>
      <c r="H103" t="s">
        <v>29</v>
      </c>
      <c r="I103" t="s">
        <v>14</v>
      </c>
      <c r="J103" t="s">
        <v>15</v>
      </c>
      <c r="K103">
        <v>2</v>
      </c>
      <c r="L103" t="s">
        <v>30</v>
      </c>
      <c r="M103" t="s">
        <v>17</v>
      </c>
      <c r="N103">
        <v>59</v>
      </c>
      <c r="O103" t="str" cm="1">
        <f t="array" ref="O103">_xlfn.IFS(N103&gt;=54,"old",N103&gt;=31,"middle age",N103&gt;=18,"adolsent",N103&lt;18,"invalid")</f>
        <v>old</v>
      </c>
      <c r="P103" t="s">
        <v>18</v>
      </c>
    </row>
    <row r="104" spans="3:16" x14ac:dyDescent="0.3">
      <c r="C104">
        <v>12664</v>
      </c>
      <c r="D104" t="s">
        <v>36</v>
      </c>
      <c r="E104" t="s">
        <v>39</v>
      </c>
      <c r="F104" s="3">
        <v>130000</v>
      </c>
      <c r="G104">
        <v>5</v>
      </c>
      <c r="H104" t="s">
        <v>19</v>
      </c>
      <c r="I104" t="s">
        <v>21</v>
      </c>
      <c r="J104" t="s">
        <v>15</v>
      </c>
      <c r="K104">
        <v>4</v>
      </c>
      <c r="L104" t="s">
        <v>16</v>
      </c>
      <c r="M104" t="s">
        <v>17</v>
      </c>
      <c r="N104">
        <v>59</v>
      </c>
      <c r="O104" t="str" cm="1">
        <f t="array" ref="O104">_xlfn.IFS(N104&gt;=54,"old",N104&gt;=31,"middle age",N104&gt;=18,"adolsent",N104&lt;18,"invalid")</f>
        <v>old</v>
      </c>
      <c r="P104" t="s">
        <v>18</v>
      </c>
    </row>
    <row r="105" spans="3:16" x14ac:dyDescent="0.3">
      <c r="C105">
        <v>12666</v>
      </c>
      <c r="D105" t="s">
        <v>37</v>
      </c>
      <c r="E105" t="s">
        <v>38</v>
      </c>
      <c r="F105" s="3">
        <v>60000</v>
      </c>
      <c r="G105">
        <v>0</v>
      </c>
      <c r="H105" t="s">
        <v>13</v>
      </c>
      <c r="I105" t="s">
        <v>21</v>
      </c>
      <c r="J105" t="s">
        <v>18</v>
      </c>
      <c r="K105">
        <v>4</v>
      </c>
      <c r="L105" t="s">
        <v>22</v>
      </c>
      <c r="M105" t="s">
        <v>24</v>
      </c>
      <c r="N105">
        <v>31</v>
      </c>
      <c r="O105" t="str" cm="1">
        <f t="array" ref="O105">_xlfn.IFS(N105&gt;=54,"old",N105&gt;=31,"middle age",N105&gt;=18,"adolsent",N105&lt;18,"invalid")</f>
        <v>middle age</v>
      </c>
      <c r="P105" t="s">
        <v>18</v>
      </c>
    </row>
    <row r="106" spans="3:16" x14ac:dyDescent="0.3">
      <c r="C106">
        <v>12678</v>
      </c>
      <c r="D106" t="s">
        <v>37</v>
      </c>
      <c r="E106" t="s">
        <v>39</v>
      </c>
      <c r="F106" s="3">
        <v>130000</v>
      </c>
      <c r="G106">
        <v>4</v>
      </c>
      <c r="H106" t="s">
        <v>27</v>
      </c>
      <c r="I106" t="s">
        <v>28</v>
      </c>
      <c r="J106" t="s">
        <v>15</v>
      </c>
      <c r="K106">
        <v>4</v>
      </c>
      <c r="L106" t="s">
        <v>16</v>
      </c>
      <c r="M106" t="s">
        <v>24</v>
      </c>
      <c r="N106">
        <v>31</v>
      </c>
      <c r="O106" t="str" cm="1">
        <f t="array" ref="O106">_xlfn.IFS(N106&gt;=54,"old",N106&gt;=31,"middle age",N106&gt;=18,"adolsent",N106&lt;18,"invalid")</f>
        <v>middle age</v>
      </c>
      <c r="P106" t="s">
        <v>18</v>
      </c>
    </row>
    <row r="107" spans="3:16" x14ac:dyDescent="0.3">
      <c r="C107">
        <v>12697</v>
      </c>
      <c r="D107" t="s">
        <v>37</v>
      </c>
      <c r="E107" t="s">
        <v>39</v>
      </c>
      <c r="F107" s="3">
        <v>90000</v>
      </c>
      <c r="G107">
        <v>0</v>
      </c>
      <c r="H107" t="s">
        <v>13</v>
      </c>
      <c r="I107" t="s">
        <v>21</v>
      </c>
      <c r="J107" t="s">
        <v>18</v>
      </c>
      <c r="K107">
        <v>4</v>
      </c>
      <c r="L107" t="s">
        <v>30</v>
      </c>
      <c r="M107" t="s">
        <v>24</v>
      </c>
      <c r="N107">
        <v>36</v>
      </c>
      <c r="O107" t="str" cm="1">
        <f t="array" ref="O107">_xlfn.IFS(N107&gt;=54,"old",N107&gt;=31,"middle age",N107&gt;=18,"adolsent",N107&lt;18,"invalid")</f>
        <v>middle age</v>
      </c>
      <c r="P107" t="s">
        <v>18</v>
      </c>
    </row>
    <row r="108" spans="3:16" x14ac:dyDescent="0.3">
      <c r="C108">
        <v>12705</v>
      </c>
      <c r="D108" t="s">
        <v>36</v>
      </c>
      <c r="E108" t="s">
        <v>38</v>
      </c>
      <c r="F108" s="3">
        <v>150000</v>
      </c>
      <c r="G108">
        <v>0</v>
      </c>
      <c r="H108" t="s">
        <v>13</v>
      </c>
      <c r="I108" t="s">
        <v>28</v>
      </c>
      <c r="J108" t="s">
        <v>15</v>
      </c>
      <c r="K108">
        <v>4</v>
      </c>
      <c r="L108" t="s">
        <v>16</v>
      </c>
      <c r="M108" t="s">
        <v>24</v>
      </c>
      <c r="N108">
        <v>37</v>
      </c>
      <c r="O108" t="str" cm="1">
        <f t="array" ref="O108">_xlfn.IFS(N108&gt;=54,"old",N108&gt;=31,"middle age",N108&gt;=18,"adolsent",N108&lt;18,"invalid")</f>
        <v>middle age</v>
      </c>
      <c r="P108" t="s">
        <v>15</v>
      </c>
    </row>
    <row r="109" spans="3:16" x14ac:dyDescent="0.3">
      <c r="C109">
        <v>12716</v>
      </c>
      <c r="D109" t="s">
        <v>37</v>
      </c>
      <c r="E109" t="s">
        <v>38</v>
      </c>
      <c r="F109" s="3">
        <v>30000</v>
      </c>
      <c r="G109">
        <v>0</v>
      </c>
      <c r="H109" t="s">
        <v>19</v>
      </c>
      <c r="I109" t="s">
        <v>20</v>
      </c>
      <c r="J109" t="s">
        <v>15</v>
      </c>
      <c r="K109">
        <v>1</v>
      </c>
      <c r="L109" t="s">
        <v>22</v>
      </c>
      <c r="M109" t="s">
        <v>17</v>
      </c>
      <c r="N109">
        <v>32</v>
      </c>
      <c r="O109" t="str" cm="1">
        <f t="array" ref="O109">_xlfn.IFS(N109&gt;=54,"old",N109&gt;=31,"middle age",N109&gt;=18,"adolsent",N109&lt;18,"invalid")</f>
        <v>middle age</v>
      </c>
      <c r="P109" t="s">
        <v>18</v>
      </c>
    </row>
    <row r="110" spans="3:16" x14ac:dyDescent="0.3">
      <c r="C110">
        <v>12718</v>
      </c>
      <c r="D110" t="s">
        <v>37</v>
      </c>
      <c r="E110" t="s">
        <v>39</v>
      </c>
      <c r="F110" s="3">
        <v>30000</v>
      </c>
      <c r="G110">
        <v>0</v>
      </c>
      <c r="H110" t="s">
        <v>19</v>
      </c>
      <c r="I110" t="s">
        <v>20</v>
      </c>
      <c r="J110" t="s">
        <v>15</v>
      </c>
      <c r="K110">
        <v>1</v>
      </c>
      <c r="L110" t="s">
        <v>22</v>
      </c>
      <c r="M110" t="s">
        <v>17</v>
      </c>
      <c r="N110">
        <v>31</v>
      </c>
      <c r="O110" t="str" cm="1">
        <f t="array" ref="O110">_xlfn.IFS(N110&gt;=54,"old",N110&gt;=31,"middle age",N110&gt;=18,"adolsent",N110&lt;18,"invalid")</f>
        <v>middle age</v>
      </c>
      <c r="P110" t="s">
        <v>18</v>
      </c>
    </row>
    <row r="111" spans="3:16" x14ac:dyDescent="0.3">
      <c r="C111">
        <v>12728</v>
      </c>
      <c r="D111" t="s">
        <v>37</v>
      </c>
      <c r="E111" t="s">
        <v>38</v>
      </c>
      <c r="F111" s="3">
        <v>30000</v>
      </c>
      <c r="G111">
        <v>0</v>
      </c>
      <c r="H111" t="s">
        <v>19</v>
      </c>
      <c r="I111" t="s">
        <v>20</v>
      </c>
      <c r="J111" t="s">
        <v>18</v>
      </c>
      <c r="K111">
        <v>1</v>
      </c>
      <c r="L111" t="s">
        <v>26</v>
      </c>
      <c r="M111" t="s">
        <v>17</v>
      </c>
      <c r="N111">
        <v>27</v>
      </c>
      <c r="O111" t="str" cm="1">
        <f t="array" ref="O111">_xlfn.IFS(N111&gt;=54,"old",N111&gt;=31,"middle age",N111&gt;=18,"adolsent",N111&lt;18,"invalid")</f>
        <v>adolsent</v>
      </c>
      <c r="P111" t="s">
        <v>18</v>
      </c>
    </row>
    <row r="112" spans="3:16" x14ac:dyDescent="0.3">
      <c r="C112">
        <v>12731</v>
      </c>
      <c r="D112" t="s">
        <v>37</v>
      </c>
      <c r="E112" t="s">
        <v>38</v>
      </c>
      <c r="F112" s="3">
        <v>30000</v>
      </c>
      <c r="G112">
        <v>0</v>
      </c>
      <c r="H112" t="s">
        <v>27</v>
      </c>
      <c r="I112" t="s">
        <v>25</v>
      </c>
      <c r="J112" t="s">
        <v>18</v>
      </c>
      <c r="K112">
        <v>1</v>
      </c>
      <c r="L112" t="s">
        <v>26</v>
      </c>
      <c r="M112" t="s">
        <v>17</v>
      </c>
      <c r="N112">
        <v>32</v>
      </c>
      <c r="O112" t="str" cm="1">
        <f t="array" ref="O112">_xlfn.IFS(N112&gt;=54,"old",N112&gt;=31,"middle age",N112&gt;=18,"adolsent",N112&lt;18,"invalid")</f>
        <v>middle age</v>
      </c>
      <c r="P112" t="s">
        <v>18</v>
      </c>
    </row>
    <row r="113" spans="3:16" x14ac:dyDescent="0.3">
      <c r="C113">
        <v>12744</v>
      </c>
      <c r="D113" t="s">
        <v>37</v>
      </c>
      <c r="E113" t="s">
        <v>39</v>
      </c>
      <c r="F113" s="3">
        <v>40000</v>
      </c>
      <c r="G113">
        <v>2</v>
      </c>
      <c r="H113" t="s">
        <v>19</v>
      </c>
      <c r="I113" t="s">
        <v>20</v>
      </c>
      <c r="J113" t="s">
        <v>15</v>
      </c>
      <c r="K113">
        <v>0</v>
      </c>
      <c r="L113" t="s">
        <v>16</v>
      </c>
      <c r="M113" t="s">
        <v>17</v>
      </c>
      <c r="N113">
        <v>33</v>
      </c>
      <c r="O113" t="str" cm="1">
        <f t="array" ref="O113">_xlfn.IFS(N113&gt;=54,"old",N113&gt;=31,"middle age",N113&gt;=18,"adolsent",N113&lt;18,"invalid")</f>
        <v>middle age</v>
      </c>
      <c r="P113" t="s">
        <v>18</v>
      </c>
    </row>
    <row r="114" spans="3:16" x14ac:dyDescent="0.3">
      <c r="C114">
        <v>12768</v>
      </c>
      <c r="D114" t="s">
        <v>36</v>
      </c>
      <c r="E114" t="s">
        <v>38</v>
      </c>
      <c r="F114" s="3">
        <v>30000</v>
      </c>
      <c r="G114">
        <v>1</v>
      </c>
      <c r="H114" t="s">
        <v>27</v>
      </c>
      <c r="I114" t="s">
        <v>20</v>
      </c>
      <c r="J114" t="s">
        <v>15</v>
      </c>
      <c r="K114">
        <v>1</v>
      </c>
      <c r="L114" t="s">
        <v>22</v>
      </c>
      <c r="M114" t="s">
        <v>32</v>
      </c>
      <c r="N114">
        <v>52</v>
      </c>
      <c r="O114" t="str" cm="1">
        <f t="array" ref="O114">_xlfn.IFS(N114&gt;=54,"old",N114&gt;=31,"middle age",N114&gt;=18,"adolsent",N114&lt;18,"invalid")</f>
        <v>middle age</v>
      </c>
      <c r="P114" t="s">
        <v>15</v>
      </c>
    </row>
    <row r="115" spans="3:16" x14ac:dyDescent="0.3">
      <c r="C115">
        <v>12774</v>
      </c>
      <c r="D115" t="s">
        <v>36</v>
      </c>
      <c r="E115" t="s">
        <v>39</v>
      </c>
      <c r="F115" s="3">
        <v>40000</v>
      </c>
      <c r="G115">
        <v>1</v>
      </c>
      <c r="H115" t="s">
        <v>19</v>
      </c>
      <c r="I115" t="s">
        <v>20</v>
      </c>
      <c r="J115" t="s">
        <v>15</v>
      </c>
      <c r="K115">
        <v>1</v>
      </c>
      <c r="L115" t="s">
        <v>26</v>
      </c>
      <c r="M115" t="s">
        <v>32</v>
      </c>
      <c r="N115">
        <v>51</v>
      </c>
      <c r="O115" t="str" cm="1">
        <f t="array" ref="O115">_xlfn.IFS(N115&gt;=54,"old",N115&gt;=31,"middle age",N115&gt;=18,"adolsent",N115&lt;18,"invalid")</f>
        <v>middle age</v>
      </c>
      <c r="P115" t="s">
        <v>15</v>
      </c>
    </row>
    <row r="116" spans="3:16" x14ac:dyDescent="0.3">
      <c r="C116">
        <v>12808</v>
      </c>
      <c r="D116" t="s">
        <v>36</v>
      </c>
      <c r="E116" t="s">
        <v>38</v>
      </c>
      <c r="F116" s="3">
        <v>40000</v>
      </c>
      <c r="G116">
        <v>0</v>
      </c>
      <c r="H116" t="s">
        <v>13</v>
      </c>
      <c r="I116" t="s">
        <v>20</v>
      </c>
      <c r="J116" t="s">
        <v>15</v>
      </c>
      <c r="K116">
        <v>0</v>
      </c>
      <c r="L116" t="s">
        <v>16</v>
      </c>
      <c r="M116" t="s">
        <v>17</v>
      </c>
      <c r="N116">
        <v>38</v>
      </c>
      <c r="O116" t="str" cm="1">
        <f t="array" ref="O116">_xlfn.IFS(N116&gt;=54,"old",N116&gt;=31,"middle age",N116&gt;=18,"adolsent",N116&lt;18,"invalid")</f>
        <v>middle age</v>
      </c>
      <c r="P116" t="s">
        <v>15</v>
      </c>
    </row>
    <row r="117" spans="3:16" x14ac:dyDescent="0.3">
      <c r="C117">
        <v>12821</v>
      </c>
      <c r="D117" t="s">
        <v>36</v>
      </c>
      <c r="E117" t="s">
        <v>38</v>
      </c>
      <c r="F117" s="3">
        <v>40000</v>
      </c>
      <c r="G117">
        <v>0</v>
      </c>
      <c r="H117" t="s">
        <v>13</v>
      </c>
      <c r="I117" t="s">
        <v>20</v>
      </c>
      <c r="J117" t="s">
        <v>15</v>
      </c>
      <c r="K117">
        <v>0</v>
      </c>
      <c r="L117" t="s">
        <v>16</v>
      </c>
      <c r="M117" t="s">
        <v>17</v>
      </c>
      <c r="N117">
        <v>39</v>
      </c>
      <c r="O117" t="str" cm="1">
        <f t="array" ref="O117">_xlfn.IFS(N117&gt;=54,"old",N117&gt;=31,"middle age",N117&gt;=18,"adolsent",N117&lt;18,"invalid")</f>
        <v>middle age</v>
      </c>
      <c r="P117" t="s">
        <v>18</v>
      </c>
    </row>
    <row r="118" spans="3:16" x14ac:dyDescent="0.3">
      <c r="C118">
        <v>12833</v>
      </c>
      <c r="D118" t="s">
        <v>37</v>
      </c>
      <c r="E118" t="s">
        <v>39</v>
      </c>
      <c r="F118" s="3">
        <v>20000</v>
      </c>
      <c r="G118">
        <v>3</v>
      </c>
      <c r="H118" t="s">
        <v>27</v>
      </c>
      <c r="I118" t="s">
        <v>25</v>
      </c>
      <c r="J118" t="s">
        <v>15</v>
      </c>
      <c r="K118">
        <v>1</v>
      </c>
      <c r="L118" t="s">
        <v>16</v>
      </c>
      <c r="M118" t="s">
        <v>17</v>
      </c>
      <c r="N118">
        <v>42</v>
      </c>
      <c r="O118" t="str" cm="1">
        <f t="array" ref="O118">_xlfn.IFS(N118&gt;=54,"old",N118&gt;=31,"middle age",N118&gt;=18,"adolsent",N118&lt;18,"invalid")</f>
        <v>middle age</v>
      </c>
      <c r="P118" t="s">
        <v>15</v>
      </c>
    </row>
    <row r="119" spans="3:16" x14ac:dyDescent="0.3">
      <c r="C119">
        <v>12871</v>
      </c>
      <c r="D119" t="s">
        <v>37</v>
      </c>
      <c r="E119" t="s">
        <v>39</v>
      </c>
      <c r="F119" s="3">
        <v>30000</v>
      </c>
      <c r="G119">
        <v>0</v>
      </c>
      <c r="H119" t="s">
        <v>19</v>
      </c>
      <c r="I119" t="s">
        <v>20</v>
      </c>
      <c r="J119" t="s">
        <v>18</v>
      </c>
      <c r="K119">
        <v>1</v>
      </c>
      <c r="L119" t="s">
        <v>22</v>
      </c>
      <c r="M119" t="s">
        <v>17</v>
      </c>
      <c r="N119">
        <v>29</v>
      </c>
      <c r="O119" t="str" cm="1">
        <f t="array" ref="O119">_xlfn.IFS(N119&gt;=54,"old",N119&gt;=31,"middle age",N119&gt;=18,"adolsent",N119&lt;18,"invalid")</f>
        <v>adolsent</v>
      </c>
      <c r="P119" t="s">
        <v>18</v>
      </c>
    </row>
    <row r="120" spans="3:16" x14ac:dyDescent="0.3">
      <c r="C120">
        <v>12882</v>
      </c>
      <c r="D120" t="s">
        <v>36</v>
      </c>
      <c r="E120" t="s">
        <v>38</v>
      </c>
      <c r="F120" s="3">
        <v>50000</v>
      </c>
      <c r="G120">
        <v>1</v>
      </c>
      <c r="H120" t="s">
        <v>31</v>
      </c>
      <c r="I120" t="s">
        <v>14</v>
      </c>
      <c r="J120" t="s">
        <v>15</v>
      </c>
      <c r="K120">
        <v>0</v>
      </c>
      <c r="L120" t="s">
        <v>16</v>
      </c>
      <c r="M120" t="s">
        <v>32</v>
      </c>
      <c r="N120">
        <v>33</v>
      </c>
      <c r="O120" t="str" cm="1">
        <f t="array" ref="O120">_xlfn.IFS(N120&gt;=54,"old",N120&gt;=31,"middle age",N120&gt;=18,"adolsent",N120&lt;18,"invalid")</f>
        <v>middle age</v>
      </c>
      <c r="P120" t="s">
        <v>15</v>
      </c>
    </row>
    <row r="121" spans="3:16" x14ac:dyDescent="0.3">
      <c r="C121">
        <v>12922</v>
      </c>
      <c r="D121" t="s">
        <v>37</v>
      </c>
      <c r="E121" t="s">
        <v>39</v>
      </c>
      <c r="F121" s="3">
        <v>60000</v>
      </c>
      <c r="G121">
        <v>3</v>
      </c>
      <c r="H121" t="s">
        <v>13</v>
      </c>
      <c r="I121" t="s">
        <v>14</v>
      </c>
      <c r="J121" t="s">
        <v>15</v>
      </c>
      <c r="K121">
        <v>0</v>
      </c>
      <c r="L121" t="s">
        <v>22</v>
      </c>
      <c r="M121" t="s">
        <v>32</v>
      </c>
      <c r="N121">
        <v>40</v>
      </c>
      <c r="O121" t="str" cm="1">
        <f t="array" ref="O121">_xlfn.IFS(N121&gt;=54,"old",N121&gt;=31,"middle age",N121&gt;=18,"adolsent",N121&lt;18,"invalid")</f>
        <v>middle age</v>
      </c>
      <c r="P121" t="s">
        <v>15</v>
      </c>
    </row>
    <row r="122" spans="3:16" x14ac:dyDescent="0.3">
      <c r="C122">
        <v>12957</v>
      </c>
      <c r="D122" t="s">
        <v>37</v>
      </c>
      <c r="E122" t="s">
        <v>39</v>
      </c>
      <c r="F122" s="3">
        <v>70000</v>
      </c>
      <c r="G122">
        <v>1</v>
      </c>
      <c r="H122" t="s">
        <v>13</v>
      </c>
      <c r="I122" t="s">
        <v>21</v>
      </c>
      <c r="J122" t="s">
        <v>18</v>
      </c>
      <c r="K122">
        <v>1</v>
      </c>
      <c r="L122" t="s">
        <v>16</v>
      </c>
      <c r="M122" t="s">
        <v>32</v>
      </c>
      <c r="N122">
        <v>44</v>
      </c>
      <c r="O122" t="str" cm="1">
        <f t="array" ref="O122">_xlfn.IFS(N122&gt;=54,"old",N122&gt;=31,"middle age",N122&gt;=18,"adolsent",N122&lt;18,"invalid")</f>
        <v>middle age</v>
      </c>
      <c r="P122" t="s">
        <v>18</v>
      </c>
    </row>
    <row r="123" spans="3:16" x14ac:dyDescent="0.3">
      <c r="C123">
        <v>12964</v>
      </c>
      <c r="D123" t="s">
        <v>36</v>
      </c>
      <c r="E123" t="s">
        <v>38</v>
      </c>
      <c r="F123" s="3">
        <v>70000</v>
      </c>
      <c r="G123">
        <v>1</v>
      </c>
      <c r="H123" t="s">
        <v>19</v>
      </c>
      <c r="I123" t="s">
        <v>14</v>
      </c>
      <c r="J123" t="s">
        <v>15</v>
      </c>
      <c r="K123">
        <v>1</v>
      </c>
      <c r="L123" t="s">
        <v>16</v>
      </c>
      <c r="M123" t="s">
        <v>32</v>
      </c>
      <c r="N123">
        <v>44</v>
      </c>
      <c r="O123" t="str" cm="1">
        <f t="array" ref="O123">_xlfn.IFS(N123&gt;=54,"old",N123&gt;=31,"middle age",N123&gt;=18,"adolsent",N123&lt;18,"invalid")</f>
        <v>middle age</v>
      </c>
      <c r="P123" t="s">
        <v>18</v>
      </c>
    </row>
    <row r="124" spans="3:16" x14ac:dyDescent="0.3">
      <c r="C124">
        <v>12993</v>
      </c>
      <c r="D124" t="s">
        <v>36</v>
      </c>
      <c r="E124" t="s">
        <v>38</v>
      </c>
      <c r="F124" s="3">
        <v>60000</v>
      </c>
      <c r="G124">
        <v>2</v>
      </c>
      <c r="H124" t="s">
        <v>13</v>
      </c>
      <c r="I124" t="s">
        <v>21</v>
      </c>
      <c r="J124" t="s">
        <v>15</v>
      </c>
      <c r="K124">
        <v>1</v>
      </c>
      <c r="L124" t="s">
        <v>22</v>
      </c>
      <c r="M124" t="s">
        <v>24</v>
      </c>
      <c r="N124">
        <v>37</v>
      </c>
      <c r="O124" t="str" cm="1">
        <f t="array" ref="O124">_xlfn.IFS(N124&gt;=54,"old",N124&gt;=31,"middle age",N124&gt;=18,"adolsent",N124&lt;18,"invalid")</f>
        <v>middle age</v>
      </c>
      <c r="P124" t="s">
        <v>18</v>
      </c>
    </row>
    <row r="125" spans="3:16" x14ac:dyDescent="0.3">
      <c r="C125">
        <v>13066</v>
      </c>
      <c r="D125" t="s">
        <v>37</v>
      </c>
      <c r="E125" t="s">
        <v>38</v>
      </c>
      <c r="F125" s="3">
        <v>30000</v>
      </c>
      <c r="G125">
        <v>0</v>
      </c>
      <c r="H125" t="s">
        <v>27</v>
      </c>
      <c r="I125" t="s">
        <v>14</v>
      </c>
      <c r="J125" t="s">
        <v>18</v>
      </c>
      <c r="K125">
        <v>2</v>
      </c>
      <c r="L125" t="s">
        <v>26</v>
      </c>
      <c r="M125" t="s">
        <v>32</v>
      </c>
      <c r="N125">
        <v>31</v>
      </c>
      <c r="O125" t="str" cm="1">
        <f t="array" ref="O125">_xlfn.IFS(N125&gt;=54,"old",N125&gt;=31,"middle age",N125&gt;=18,"adolsent",N125&lt;18,"invalid")</f>
        <v>middle age</v>
      </c>
      <c r="P125" t="s">
        <v>15</v>
      </c>
    </row>
    <row r="126" spans="3:16" x14ac:dyDescent="0.3">
      <c r="C126">
        <v>13073</v>
      </c>
      <c r="D126" t="s">
        <v>36</v>
      </c>
      <c r="E126" t="s">
        <v>39</v>
      </c>
      <c r="F126" s="3">
        <v>60000</v>
      </c>
      <c r="G126">
        <v>0</v>
      </c>
      <c r="H126" t="s">
        <v>19</v>
      </c>
      <c r="I126" t="s">
        <v>21</v>
      </c>
      <c r="J126" t="s">
        <v>15</v>
      </c>
      <c r="K126">
        <v>2</v>
      </c>
      <c r="L126" t="s">
        <v>23</v>
      </c>
      <c r="M126" t="s">
        <v>32</v>
      </c>
      <c r="N126">
        <v>30</v>
      </c>
      <c r="O126" t="str" cm="1">
        <f t="array" ref="O126">_xlfn.IFS(N126&gt;=54,"old",N126&gt;=31,"middle age",N126&gt;=18,"adolsent",N126&lt;18,"invalid")</f>
        <v>adolsent</v>
      </c>
      <c r="P126" t="s">
        <v>18</v>
      </c>
    </row>
    <row r="127" spans="3:16" x14ac:dyDescent="0.3">
      <c r="C127">
        <v>13082</v>
      </c>
      <c r="D127" t="s">
        <v>37</v>
      </c>
      <c r="E127" t="s">
        <v>38</v>
      </c>
      <c r="F127" s="3">
        <v>130000</v>
      </c>
      <c r="G127">
        <v>0</v>
      </c>
      <c r="H127" t="s">
        <v>31</v>
      </c>
      <c r="I127" t="s">
        <v>28</v>
      </c>
      <c r="J127" t="s">
        <v>15</v>
      </c>
      <c r="K127">
        <v>0</v>
      </c>
      <c r="L127" t="s">
        <v>22</v>
      </c>
      <c r="M127" t="s">
        <v>24</v>
      </c>
      <c r="N127">
        <v>48</v>
      </c>
      <c r="O127" t="str" cm="1">
        <f t="array" ref="O127">_xlfn.IFS(N127&gt;=54,"old",N127&gt;=31,"middle age",N127&gt;=18,"adolsent",N127&lt;18,"invalid")</f>
        <v>middle age</v>
      </c>
      <c r="P127" t="s">
        <v>15</v>
      </c>
    </row>
    <row r="128" spans="3:16" x14ac:dyDescent="0.3">
      <c r="C128">
        <v>13089</v>
      </c>
      <c r="D128" t="s">
        <v>36</v>
      </c>
      <c r="E128" t="s">
        <v>39</v>
      </c>
      <c r="F128" s="3">
        <v>120000</v>
      </c>
      <c r="G128">
        <v>1</v>
      </c>
      <c r="H128" t="s">
        <v>13</v>
      </c>
      <c r="I128" t="s">
        <v>28</v>
      </c>
      <c r="J128" t="s">
        <v>15</v>
      </c>
      <c r="K128">
        <v>2</v>
      </c>
      <c r="L128" t="s">
        <v>16</v>
      </c>
      <c r="M128" t="s">
        <v>24</v>
      </c>
      <c r="N128">
        <v>46</v>
      </c>
      <c r="O128" t="str" cm="1">
        <f t="array" ref="O128">_xlfn.IFS(N128&gt;=54,"old",N128&gt;=31,"middle age",N128&gt;=18,"adolsent",N128&lt;18,"invalid")</f>
        <v>middle age</v>
      </c>
      <c r="P128" t="s">
        <v>15</v>
      </c>
    </row>
    <row r="129" spans="3:16" x14ac:dyDescent="0.3">
      <c r="C129">
        <v>13122</v>
      </c>
      <c r="D129" t="s">
        <v>36</v>
      </c>
      <c r="E129" t="s">
        <v>39</v>
      </c>
      <c r="F129" s="3">
        <v>80000</v>
      </c>
      <c r="G129">
        <v>0</v>
      </c>
      <c r="H129" t="s">
        <v>13</v>
      </c>
      <c r="I129" t="s">
        <v>21</v>
      </c>
      <c r="J129" t="s">
        <v>15</v>
      </c>
      <c r="K129">
        <v>1</v>
      </c>
      <c r="L129" t="s">
        <v>26</v>
      </c>
      <c r="M129" t="s">
        <v>24</v>
      </c>
      <c r="N129">
        <v>41</v>
      </c>
      <c r="O129" t="str" cm="1">
        <f t="array" ref="O129">_xlfn.IFS(N129&gt;=54,"old",N129&gt;=31,"middle age",N129&gt;=18,"adolsent",N129&lt;18,"invalid")</f>
        <v>middle age</v>
      </c>
      <c r="P129" t="s">
        <v>15</v>
      </c>
    </row>
    <row r="130" spans="3:16" x14ac:dyDescent="0.3">
      <c r="C130">
        <v>13133</v>
      </c>
      <c r="D130" t="s">
        <v>37</v>
      </c>
      <c r="E130" t="s">
        <v>38</v>
      </c>
      <c r="F130" s="3">
        <v>100000</v>
      </c>
      <c r="G130">
        <v>5</v>
      </c>
      <c r="H130" t="s">
        <v>13</v>
      </c>
      <c r="I130" t="s">
        <v>21</v>
      </c>
      <c r="J130" t="s">
        <v>15</v>
      </c>
      <c r="K130">
        <v>1</v>
      </c>
      <c r="L130" t="s">
        <v>23</v>
      </c>
      <c r="M130" t="s">
        <v>24</v>
      </c>
      <c r="N130">
        <v>47</v>
      </c>
      <c r="O130" t="str" cm="1">
        <f t="array" ref="O130">_xlfn.IFS(N130&gt;=54,"old",N130&gt;=31,"middle age",N130&gt;=18,"adolsent",N130&lt;18,"invalid")</f>
        <v>middle age</v>
      </c>
      <c r="P130" t="s">
        <v>15</v>
      </c>
    </row>
    <row r="131" spans="3:16" x14ac:dyDescent="0.3">
      <c r="C131">
        <v>13136</v>
      </c>
      <c r="D131" t="s">
        <v>36</v>
      </c>
      <c r="E131" t="s">
        <v>39</v>
      </c>
      <c r="F131" s="3">
        <v>30000</v>
      </c>
      <c r="G131">
        <v>2</v>
      </c>
      <c r="H131" t="s">
        <v>19</v>
      </c>
      <c r="I131" t="s">
        <v>20</v>
      </c>
      <c r="J131" t="s">
        <v>18</v>
      </c>
      <c r="K131">
        <v>2</v>
      </c>
      <c r="L131" t="s">
        <v>23</v>
      </c>
      <c r="M131" t="s">
        <v>24</v>
      </c>
      <c r="N131">
        <v>69</v>
      </c>
      <c r="O131" t="str" cm="1">
        <f t="array" ref="O131">_xlfn.IFS(N131&gt;=54,"old",N131&gt;=31,"middle age",N131&gt;=18,"adolsent",N131&lt;18,"invalid")</f>
        <v>old</v>
      </c>
      <c r="P131" t="s">
        <v>18</v>
      </c>
    </row>
    <row r="132" spans="3:16" x14ac:dyDescent="0.3">
      <c r="C132">
        <v>13151</v>
      </c>
      <c r="D132" t="s">
        <v>37</v>
      </c>
      <c r="E132" t="s">
        <v>38</v>
      </c>
      <c r="F132" s="3">
        <v>40000</v>
      </c>
      <c r="G132">
        <v>0</v>
      </c>
      <c r="H132" t="s">
        <v>27</v>
      </c>
      <c r="I132" t="s">
        <v>14</v>
      </c>
      <c r="J132" t="s">
        <v>15</v>
      </c>
      <c r="K132">
        <v>2</v>
      </c>
      <c r="L132" t="s">
        <v>23</v>
      </c>
      <c r="M132" t="s">
        <v>32</v>
      </c>
      <c r="N132">
        <v>27</v>
      </c>
      <c r="O132" t="str" cm="1">
        <f t="array" ref="O132">_xlfn.IFS(N132&gt;=54,"old",N132&gt;=31,"middle age",N132&gt;=18,"adolsent",N132&lt;18,"invalid")</f>
        <v>adolsent</v>
      </c>
      <c r="P132" t="s">
        <v>18</v>
      </c>
    </row>
    <row r="133" spans="3:16" x14ac:dyDescent="0.3">
      <c r="C133">
        <v>13154</v>
      </c>
      <c r="D133" t="s">
        <v>36</v>
      </c>
      <c r="E133" t="s">
        <v>38</v>
      </c>
      <c r="F133" s="3">
        <v>40000</v>
      </c>
      <c r="G133">
        <v>0</v>
      </c>
      <c r="H133" t="s">
        <v>27</v>
      </c>
      <c r="I133" t="s">
        <v>14</v>
      </c>
      <c r="J133" t="s">
        <v>18</v>
      </c>
      <c r="K133">
        <v>2</v>
      </c>
      <c r="L133" t="s">
        <v>16</v>
      </c>
      <c r="M133" t="s">
        <v>32</v>
      </c>
      <c r="N133">
        <v>27</v>
      </c>
      <c r="O133" t="str" cm="1">
        <f t="array" ref="O133">_xlfn.IFS(N133&gt;=54,"old",N133&gt;=31,"middle age",N133&gt;=18,"adolsent",N133&lt;18,"invalid")</f>
        <v>adolsent</v>
      </c>
      <c r="P133" t="s">
        <v>15</v>
      </c>
    </row>
    <row r="134" spans="3:16" x14ac:dyDescent="0.3">
      <c r="C134">
        <v>13176</v>
      </c>
      <c r="D134" t="s">
        <v>37</v>
      </c>
      <c r="E134" t="s">
        <v>38</v>
      </c>
      <c r="F134" s="3">
        <v>130000</v>
      </c>
      <c r="G134">
        <v>0</v>
      </c>
      <c r="H134" t="s">
        <v>31</v>
      </c>
      <c r="I134" t="s">
        <v>28</v>
      </c>
      <c r="J134" t="s">
        <v>18</v>
      </c>
      <c r="K134">
        <v>2</v>
      </c>
      <c r="L134" t="s">
        <v>16</v>
      </c>
      <c r="M134" t="s">
        <v>32</v>
      </c>
      <c r="N134">
        <v>38</v>
      </c>
      <c r="O134" t="str" cm="1">
        <f t="array" ref="O134">_xlfn.IFS(N134&gt;=54,"old",N134&gt;=31,"middle age",N134&gt;=18,"adolsent",N134&lt;18,"invalid")</f>
        <v>middle age</v>
      </c>
      <c r="P134" t="s">
        <v>15</v>
      </c>
    </row>
    <row r="135" spans="3:16" x14ac:dyDescent="0.3">
      <c r="C135">
        <v>13216</v>
      </c>
      <c r="D135" t="s">
        <v>36</v>
      </c>
      <c r="E135" t="s">
        <v>39</v>
      </c>
      <c r="F135" s="3">
        <v>60000</v>
      </c>
      <c r="G135">
        <v>5</v>
      </c>
      <c r="H135" t="s">
        <v>13</v>
      </c>
      <c r="I135" t="s">
        <v>28</v>
      </c>
      <c r="J135" t="s">
        <v>15</v>
      </c>
      <c r="K135">
        <v>3</v>
      </c>
      <c r="L135" t="s">
        <v>30</v>
      </c>
      <c r="M135" t="s">
        <v>32</v>
      </c>
      <c r="N135">
        <v>59</v>
      </c>
      <c r="O135" t="str" cm="1">
        <f t="array" ref="O135">_xlfn.IFS(N135&gt;=54,"old",N135&gt;=31,"middle age",N135&gt;=18,"adolsent",N135&lt;18,"invalid")</f>
        <v>old</v>
      </c>
      <c r="P135" t="s">
        <v>18</v>
      </c>
    </row>
    <row r="136" spans="3:16" x14ac:dyDescent="0.3">
      <c r="C136">
        <v>13233</v>
      </c>
      <c r="D136" t="s">
        <v>36</v>
      </c>
      <c r="E136" t="s">
        <v>38</v>
      </c>
      <c r="F136" s="3">
        <v>60000</v>
      </c>
      <c r="G136">
        <v>2</v>
      </c>
      <c r="H136" t="s">
        <v>19</v>
      </c>
      <c r="I136" t="s">
        <v>21</v>
      </c>
      <c r="J136" t="s">
        <v>15</v>
      </c>
      <c r="K136">
        <v>1</v>
      </c>
      <c r="L136" t="s">
        <v>30</v>
      </c>
      <c r="M136" t="s">
        <v>32</v>
      </c>
      <c r="N136">
        <v>57</v>
      </c>
      <c r="O136" t="str" cm="1">
        <f t="array" ref="O136">_xlfn.IFS(N136&gt;=54,"old",N136&gt;=31,"middle age",N136&gt;=18,"adolsent",N136&lt;18,"invalid")</f>
        <v>old</v>
      </c>
      <c r="P136" t="s">
        <v>15</v>
      </c>
    </row>
    <row r="137" spans="3:16" x14ac:dyDescent="0.3">
      <c r="C137">
        <v>13283</v>
      </c>
      <c r="D137" t="s">
        <v>36</v>
      </c>
      <c r="E137" t="s">
        <v>38</v>
      </c>
      <c r="F137" s="3">
        <v>80000</v>
      </c>
      <c r="G137">
        <v>3</v>
      </c>
      <c r="H137" t="s">
        <v>19</v>
      </c>
      <c r="I137" t="s">
        <v>21</v>
      </c>
      <c r="J137" t="s">
        <v>18</v>
      </c>
      <c r="K137">
        <v>2</v>
      </c>
      <c r="L137" t="s">
        <v>16</v>
      </c>
      <c r="M137" t="s">
        <v>32</v>
      </c>
      <c r="N137">
        <v>49</v>
      </c>
      <c r="O137" t="str" cm="1">
        <f t="array" ref="O137">_xlfn.IFS(N137&gt;=54,"old",N137&gt;=31,"middle age",N137&gt;=18,"adolsent",N137&lt;18,"invalid")</f>
        <v>middle age</v>
      </c>
      <c r="P137" t="s">
        <v>15</v>
      </c>
    </row>
    <row r="138" spans="3:16" x14ac:dyDescent="0.3">
      <c r="C138">
        <v>13287</v>
      </c>
      <c r="D138" t="s">
        <v>37</v>
      </c>
      <c r="E138" t="s">
        <v>38</v>
      </c>
      <c r="F138" s="3">
        <v>110000</v>
      </c>
      <c r="G138">
        <v>4</v>
      </c>
      <c r="H138" t="s">
        <v>13</v>
      </c>
      <c r="I138" t="s">
        <v>28</v>
      </c>
      <c r="J138" t="s">
        <v>15</v>
      </c>
      <c r="K138">
        <v>4</v>
      </c>
      <c r="L138" t="s">
        <v>23</v>
      </c>
      <c r="M138" t="s">
        <v>32</v>
      </c>
      <c r="N138">
        <v>42</v>
      </c>
      <c r="O138" t="str" cm="1">
        <f t="array" ref="O138">_xlfn.IFS(N138&gt;=54,"old",N138&gt;=31,"middle age",N138&gt;=18,"adolsent",N138&lt;18,"invalid")</f>
        <v>middle age</v>
      </c>
      <c r="P138" t="s">
        <v>15</v>
      </c>
    </row>
    <row r="139" spans="3:16" x14ac:dyDescent="0.3">
      <c r="C139">
        <v>13296</v>
      </c>
      <c r="D139" t="s">
        <v>36</v>
      </c>
      <c r="E139" t="s">
        <v>38</v>
      </c>
      <c r="F139" s="3">
        <v>110000</v>
      </c>
      <c r="G139">
        <v>1</v>
      </c>
      <c r="H139" t="s">
        <v>13</v>
      </c>
      <c r="I139" t="s">
        <v>28</v>
      </c>
      <c r="J139" t="s">
        <v>15</v>
      </c>
      <c r="K139">
        <v>3</v>
      </c>
      <c r="L139" t="s">
        <v>23</v>
      </c>
      <c r="M139" t="s">
        <v>32</v>
      </c>
      <c r="N139">
        <v>45</v>
      </c>
      <c r="O139" t="str" cm="1">
        <f t="array" ref="O139">_xlfn.IFS(N139&gt;=54,"old",N139&gt;=31,"middle age",N139&gt;=18,"adolsent",N139&lt;18,"invalid")</f>
        <v>middle age</v>
      </c>
      <c r="P139" t="s">
        <v>18</v>
      </c>
    </row>
    <row r="140" spans="3:16" x14ac:dyDescent="0.3">
      <c r="C140">
        <v>13313</v>
      </c>
      <c r="D140" t="s">
        <v>36</v>
      </c>
      <c r="E140" t="s">
        <v>39</v>
      </c>
      <c r="F140" s="3">
        <v>120000</v>
      </c>
      <c r="G140">
        <v>1</v>
      </c>
      <c r="H140" t="s">
        <v>27</v>
      </c>
      <c r="I140" t="s">
        <v>21</v>
      </c>
      <c r="J140" t="s">
        <v>18</v>
      </c>
      <c r="K140">
        <v>4</v>
      </c>
      <c r="L140" t="s">
        <v>22</v>
      </c>
      <c r="M140" t="s">
        <v>32</v>
      </c>
      <c r="N140">
        <v>45</v>
      </c>
      <c r="O140" t="str" cm="1">
        <f t="array" ref="O140">_xlfn.IFS(N140&gt;=54,"old",N140&gt;=31,"middle age",N140&gt;=18,"adolsent",N140&lt;18,"invalid")</f>
        <v>middle age</v>
      </c>
      <c r="P140" t="s">
        <v>18</v>
      </c>
    </row>
    <row r="141" spans="3:16" x14ac:dyDescent="0.3">
      <c r="C141">
        <v>13314</v>
      </c>
      <c r="D141" t="s">
        <v>36</v>
      </c>
      <c r="E141" t="s">
        <v>38</v>
      </c>
      <c r="F141" s="3">
        <v>120000</v>
      </c>
      <c r="G141">
        <v>1</v>
      </c>
      <c r="H141" t="s">
        <v>27</v>
      </c>
      <c r="I141" t="s">
        <v>21</v>
      </c>
      <c r="J141" t="s">
        <v>15</v>
      </c>
      <c r="K141">
        <v>4</v>
      </c>
      <c r="L141" t="s">
        <v>23</v>
      </c>
      <c r="M141" t="s">
        <v>32</v>
      </c>
      <c r="N141">
        <v>46</v>
      </c>
      <c r="O141" t="str" cm="1">
        <f t="array" ref="O141">_xlfn.IFS(N141&gt;=54,"old",N141&gt;=31,"middle age",N141&gt;=18,"adolsent",N141&lt;18,"invalid")</f>
        <v>middle age</v>
      </c>
      <c r="P141" t="s">
        <v>15</v>
      </c>
    </row>
    <row r="142" spans="3:16" x14ac:dyDescent="0.3">
      <c r="C142">
        <v>13337</v>
      </c>
      <c r="D142" t="s">
        <v>36</v>
      </c>
      <c r="E142" t="s">
        <v>39</v>
      </c>
      <c r="F142" s="3">
        <v>80000</v>
      </c>
      <c r="G142">
        <v>5</v>
      </c>
      <c r="H142" t="s">
        <v>13</v>
      </c>
      <c r="I142" t="s">
        <v>28</v>
      </c>
      <c r="J142" t="s">
        <v>15</v>
      </c>
      <c r="K142">
        <v>2</v>
      </c>
      <c r="L142" t="s">
        <v>23</v>
      </c>
      <c r="M142" t="s">
        <v>32</v>
      </c>
      <c r="N142">
        <v>64</v>
      </c>
      <c r="O142" t="str" cm="1">
        <f t="array" ref="O142">_xlfn.IFS(N142&gt;=54,"old",N142&gt;=31,"middle age",N142&gt;=18,"adolsent",N142&lt;18,"invalid")</f>
        <v>old</v>
      </c>
      <c r="P142" t="s">
        <v>18</v>
      </c>
    </row>
    <row r="143" spans="3:16" x14ac:dyDescent="0.3">
      <c r="C143">
        <v>13343</v>
      </c>
      <c r="D143" t="s">
        <v>36</v>
      </c>
      <c r="E143" t="s">
        <v>39</v>
      </c>
      <c r="F143" s="3">
        <v>90000</v>
      </c>
      <c r="G143">
        <v>5</v>
      </c>
      <c r="H143" t="s">
        <v>13</v>
      </c>
      <c r="I143" t="s">
        <v>28</v>
      </c>
      <c r="J143" t="s">
        <v>15</v>
      </c>
      <c r="K143">
        <v>2</v>
      </c>
      <c r="L143" t="s">
        <v>26</v>
      </c>
      <c r="M143" t="s">
        <v>32</v>
      </c>
      <c r="N143">
        <v>63</v>
      </c>
      <c r="O143" t="str" cm="1">
        <f t="array" ref="O143">_xlfn.IFS(N143&gt;=54,"old",N143&gt;=31,"middle age",N143&gt;=18,"adolsent",N143&lt;18,"invalid")</f>
        <v>old</v>
      </c>
      <c r="P143" t="s">
        <v>15</v>
      </c>
    </row>
    <row r="144" spans="3:16" x14ac:dyDescent="0.3">
      <c r="C144">
        <v>13351</v>
      </c>
      <c r="D144" t="s">
        <v>37</v>
      </c>
      <c r="E144" t="s">
        <v>39</v>
      </c>
      <c r="F144" s="3">
        <v>70000</v>
      </c>
      <c r="G144">
        <v>4</v>
      </c>
      <c r="H144" t="s">
        <v>13</v>
      </c>
      <c r="I144" t="s">
        <v>28</v>
      </c>
      <c r="J144" t="s">
        <v>15</v>
      </c>
      <c r="K144">
        <v>2</v>
      </c>
      <c r="L144" t="s">
        <v>26</v>
      </c>
      <c r="M144" t="s">
        <v>32</v>
      </c>
      <c r="N144">
        <v>62</v>
      </c>
      <c r="O144" t="str" cm="1">
        <f t="array" ref="O144">_xlfn.IFS(N144&gt;=54,"old",N144&gt;=31,"middle age",N144&gt;=18,"adolsent",N144&lt;18,"invalid")</f>
        <v>old</v>
      </c>
      <c r="P144" t="s">
        <v>15</v>
      </c>
    </row>
    <row r="145" spans="3:16" x14ac:dyDescent="0.3">
      <c r="C145">
        <v>13353</v>
      </c>
      <c r="D145" t="s">
        <v>37</v>
      </c>
      <c r="E145" t="s">
        <v>39</v>
      </c>
      <c r="F145" s="3">
        <v>60000</v>
      </c>
      <c r="G145">
        <v>4</v>
      </c>
      <c r="H145" t="s">
        <v>31</v>
      </c>
      <c r="I145" t="s">
        <v>28</v>
      </c>
      <c r="J145" t="s">
        <v>15</v>
      </c>
      <c r="K145">
        <v>2</v>
      </c>
      <c r="L145" t="s">
        <v>30</v>
      </c>
      <c r="M145" t="s">
        <v>32</v>
      </c>
      <c r="N145">
        <v>61</v>
      </c>
      <c r="O145" t="str" cm="1">
        <f t="array" ref="O145">_xlfn.IFS(N145&gt;=54,"old",N145&gt;=31,"middle age",N145&gt;=18,"adolsent",N145&lt;18,"invalid")</f>
        <v>old</v>
      </c>
      <c r="P145" t="s">
        <v>15</v>
      </c>
    </row>
    <row r="146" spans="3:16" x14ac:dyDescent="0.3">
      <c r="C146">
        <v>13382</v>
      </c>
      <c r="D146" t="s">
        <v>36</v>
      </c>
      <c r="E146" t="s">
        <v>38</v>
      </c>
      <c r="F146" s="3">
        <v>70000</v>
      </c>
      <c r="G146">
        <v>5</v>
      </c>
      <c r="H146" t="s">
        <v>19</v>
      </c>
      <c r="I146" t="s">
        <v>21</v>
      </c>
      <c r="J146" t="s">
        <v>15</v>
      </c>
      <c r="K146">
        <v>2</v>
      </c>
      <c r="L146" t="s">
        <v>26</v>
      </c>
      <c r="M146" t="s">
        <v>32</v>
      </c>
      <c r="N146">
        <v>57</v>
      </c>
      <c r="O146" t="str" cm="1">
        <f t="array" ref="O146">_xlfn.IFS(N146&gt;=54,"old",N146&gt;=31,"middle age",N146&gt;=18,"adolsent",N146&lt;18,"invalid")</f>
        <v>old</v>
      </c>
      <c r="P146" t="s">
        <v>15</v>
      </c>
    </row>
    <row r="147" spans="3:16" x14ac:dyDescent="0.3">
      <c r="C147">
        <v>13388</v>
      </c>
      <c r="D147" t="s">
        <v>37</v>
      </c>
      <c r="E147" t="s">
        <v>38</v>
      </c>
      <c r="F147" s="3">
        <v>60000</v>
      </c>
      <c r="G147">
        <v>2</v>
      </c>
      <c r="H147" t="s">
        <v>19</v>
      </c>
      <c r="I147" t="s">
        <v>21</v>
      </c>
      <c r="J147" t="s">
        <v>15</v>
      </c>
      <c r="K147">
        <v>1</v>
      </c>
      <c r="L147" t="s">
        <v>30</v>
      </c>
      <c r="M147" t="s">
        <v>32</v>
      </c>
      <c r="N147">
        <v>56</v>
      </c>
      <c r="O147" t="str" cm="1">
        <f t="array" ref="O147">_xlfn.IFS(N147&gt;=54,"old",N147&gt;=31,"middle age",N147&gt;=18,"adolsent",N147&lt;18,"invalid")</f>
        <v>old</v>
      </c>
      <c r="P147" t="s">
        <v>18</v>
      </c>
    </row>
    <row r="148" spans="3:16" x14ac:dyDescent="0.3">
      <c r="C148">
        <v>13390</v>
      </c>
      <c r="D148" t="s">
        <v>36</v>
      </c>
      <c r="E148" t="s">
        <v>39</v>
      </c>
      <c r="F148" s="3">
        <v>70000</v>
      </c>
      <c r="G148">
        <v>4</v>
      </c>
      <c r="H148" t="s">
        <v>19</v>
      </c>
      <c r="I148" t="s">
        <v>21</v>
      </c>
      <c r="J148" t="s">
        <v>18</v>
      </c>
      <c r="K148">
        <v>1</v>
      </c>
      <c r="L148" t="s">
        <v>26</v>
      </c>
      <c r="M148" t="s">
        <v>32</v>
      </c>
      <c r="N148">
        <v>56</v>
      </c>
      <c r="O148" t="str" cm="1">
        <f t="array" ref="O148">_xlfn.IFS(N148&gt;=54,"old",N148&gt;=31,"middle age",N148&gt;=18,"adolsent",N148&lt;18,"invalid")</f>
        <v>old</v>
      </c>
      <c r="P148" t="s">
        <v>18</v>
      </c>
    </row>
    <row r="149" spans="3:16" x14ac:dyDescent="0.3">
      <c r="C149">
        <v>13415</v>
      </c>
      <c r="D149" t="s">
        <v>37</v>
      </c>
      <c r="E149" t="s">
        <v>38</v>
      </c>
      <c r="F149" s="3">
        <v>100000</v>
      </c>
      <c r="G149">
        <v>1</v>
      </c>
      <c r="H149" t="s">
        <v>31</v>
      </c>
      <c r="I149" t="s">
        <v>28</v>
      </c>
      <c r="J149" t="s">
        <v>15</v>
      </c>
      <c r="K149">
        <v>3</v>
      </c>
      <c r="L149" t="s">
        <v>22</v>
      </c>
      <c r="M149" t="s">
        <v>32</v>
      </c>
      <c r="N149">
        <v>73</v>
      </c>
      <c r="O149" t="str" cm="1">
        <f t="array" ref="O149">_xlfn.IFS(N149&gt;=54,"old",N149&gt;=31,"middle age",N149&gt;=18,"adolsent",N149&lt;18,"invalid")</f>
        <v>old</v>
      </c>
      <c r="P149" t="s">
        <v>15</v>
      </c>
    </row>
    <row r="150" spans="3:16" x14ac:dyDescent="0.3">
      <c r="C150">
        <v>13453</v>
      </c>
      <c r="D150" t="s">
        <v>36</v>
      </c>
      <c r="E150" t="s">
        <v>39</v>
      </c>
      <c r="F150" s="3">
        <v>130000</v>
      </c>
      <c r="G150">
        <v>3</v>
      </c>
      <c r="H150" t="s">
        <v>13</v>
      </c>
      <c r="I150" t="s">
        <v>28</v>
      </c>
      <c r="J150" t="s">
        <v>15</v>
      </c>
      <c r="K150">
        <v>3</v>
      </c>
      <c r="L150" t="s">
        <v>16</v>
      </c>
      <c r="M150" t="s">
        <v>32</v>
      </c>
      <c r="N150">
        <v>45</v>
      </c>
      <c r="O150" t="str" cm="1">
        <f t="array" ref="O150">_xlfn.IFS(N150&gt;=54,"old",N150&gt;=31,"middle age",N150&gt;=18,"adolsent",N150&lt;18,"invalid")</f>
        <v>middle age</v>
      </c>
      <c r="P150" t="s">
        <v>15</v>
      </c>
    </row>
    <row r="151" spans="3:16" x14ac:dyDescent="0.3">
      <c r="C151">
        <v>13466</v>
      </c>
      <c r="D151" t="s">
        <v>36</v>
      </c>
      <c r="E151" t="s">
        <v>38</v>
      </c>
      <c r="F151" s="3">
        <v>80000</v>
      </c>
      <c r="G151">
        <v>5</v>
      </c>
      <c r="H151" t="s">
        <v>19</v>
      </c>
      <c r="I151" t="s">
        <v>21</v>
      </c>
      <c r="J151" t="s">
        <v>15</v>
      </c>
      <c r="K151">
        <v>3</v>
      </c>
      <c r="L151" t="s">
        <v>26</v>
      </c>
      <c r="M151" t="s">
        <v>32</v>
      </c>
      <c r="N151">
        <v>46</v>
      </c>
      <c r="O151" t="str" cm="1">
        <f t="array" ref="O151">_xlfn.IFS(N151&gt;=54,"old",N151&gt;=31,"middle age",N151&gt;=18,"adolsent",N151&lt;18,"invalid")</f>
        <v>middle age</v>
      </c>
      <c r="P151" t="s">
        <v>18</v>
      </c>
    </row>
    <row r="152" spans="3:16" x14ac:dyDescent="0.3">
      <c r="C152">
        <v>13507</v>
      </c>
      <c r="D152" t="s">
        <v>36</v>
      </c>
      <c r="E152" t="s">
        <v>39</v>
      </c>
      <c r="F152" s="3">
        <v>10000</v>
      </c>
      <c r="G152">
        <v>2</v>
      </c>
      <c r="H152" t="s">
        <v>19</v>
      </c>
      <c r="I152" t="s">
        <v>25</v>
      </c>
      <c r="J152" t="s">
        <v>15</v>
      </c>
      <c r="K152">
        <v>0</v>
      </c>
      <c r="L152" t="s">
        <v>26</v>
      </c>
      <c r="M152" t="s">
        <v>17</v>
      </c>
      <c r="N152">
        <v>50</v>
      </c>
      <c r="O152" t="str" cm="1">
        <f t="array" ref="O152">_xlfn.IFS(N152&gt;=54,"old",N152&gt;=31,"middle age",N152&gt;=18,"adolsent",N152&lt;18,"invalid")</f>
        <v>middle age</v>
      </c>
      <c r="P152" t="s">
        <v>18</v>
      </c>
    </row>
    <row r="153" spans="3:16" x14ac:dyDescent="0.3">
      <c r="C153">
        <v>13572</v>
      </c>
      <c r="D153" t="s">
        <v>37</v>
      </c>
      <c r="E153" t="s">
        <v>38</v>
      </c>
      <c r="F153" s="3">
        <v>10000</v>
      </c>
      <c r="G153">
        <v>3</v>
      </c>
      <c r="H153" t="s">
        <v>27</v>
      </c>
      <c r="I153" t="s">
        <v>25</v>
      </c>
      <c r="J153" t="s">
        <v>15</v>
      </c>
      <c r="K153">
        <v>0</v>
      </c>
      <c r="L153" t="s">
        <v>16</v>
      </c>
      <c r="M153" t="s">
        <v>17</v>
      </c>
      <c r="N153">
        <v>37</v>
      </c>
      <c r="O153" t="str" cm="1">
        <f t="array" ref="O153">_xlfn.IFS(N153&gt;=54,"old",N153&gt;=31,"middle age",N153&gt;=18,"adolsent",N153&lt;18,"invalid")</f>
        <v>middle age</v>
      </c>
      <c r="P153" t="s">
        <v>15</v>
      </c>
    </row>
    <row r="154" spans="3:16" x14ac:dyDescent="0.3">
      <c r="C154">
        <v>13585</v>
      </c>
      <c r="D154" t="s">
        <v>36</v>
      </c>
      <c r="E154" t="s">
        <v>39</v>
      </c>
      <c r="F154" s="3">
        <v>80000</v>
      </c>
      <c r="G154">
        <v>4</v>
      </c>
      <c r="H154" t="s">
        <v>19</v>
      </c>
      <c r="I154" t="s">
        <v>21</v>
      </c>
      <c r="J154" t="s">
        <v>18</v>
      </c>
      <c r="K154">
        <v>1</v>
      </c>
      <c r="L154" t="s">
        <v>22</v>
      </c>
      <c r="M154" t="s">
        <v>17</v>
      </c>
      <c r="N154">
        <v>53</v>
      </c>
      <c r="O154" t="str" cm="1">
        <f t="array" ref="O154">_xlfn.IFS(N154&gt;=54,"old",N154&gt;=31,"middle age",N154&gt;=18,"adolsent",N154&lt;18,"invalid")</f>
        <v>middle age</v>
      </c>
      <c r="P154" t="s">
        <v>15</v>
      </c>
    </row>
    <row r="155" spans="3:16" x14ac:dyDescent="0.3">
      <c r="C155">
        <v>13586</v>
      </c>
      <c r="D155" t="s">
        <v>36</v>
      </c>
      <c r="E155" t="s">
        <v>38</v>
      </c>
      <c r="F155" s="3">
        <v>80000</v>
      </c>
      <c r="G155">
        <v>4</v>
      </c>
      <c r="H155" t="s">
        <v>19</v>
      </c>
      <c r="I155" t="s">
        <v>21</v>
      </c>
      <c r="J155" t="s">
        <v>15</v>
      </c>
      <c r="K155">
        <v>2</v>
      </c>
      <c r="L155" t="s">
        <v>30</v>
      </c>
      <c r="M155" t="s">
        <v>17</v>
      </c>
      <c r="N155">
        <v>53</v>
      </c>
      <c r="O155" t="str" cm="1">
        <f t="array" ref="O155">_xlfn.IFS(N155&gt;=54,"old",N155&gt;=31,"middle age",N155&gt;=18,"adolsent",N155&lt;18,"invalid")</f>
        <v>middle age</v>
      </c>
      <c r="P155" t="s">
        <v>18</v>
      </c>
    </row>
    <row r="156" spans="3:16" x14ac:dyDescent="0.3">
      <c r="C156">
        <v>13620</v>
      </c>
      <c r="D156" t="s">
        <v>37</v>
      </c>
      <c r="E156" t="s">
        <v>38</v>
      </c>
      <c r="F156" s="3">
        <v>70000</v>
      </c>
      <c r="G156">
        <v>0</v>
      </c>
      <c r="H156" t="s">
        <v>13</v>
      </c>
      <c r="I156" t="s">
        <v>21</v>
      </c>
      <c r="J156" t="s">
        <v>18</v>
      </c>
      <c r="K156">
        <v>3</v>
      </c>
      <c r="L156" t="s">
        <v>30</v>
      </c>
      <c r="M156" t="s">
        <v>24</v>
      </c>
      <c r="N156">
        <v>30</v>
      </c>
      <c r="O156" t="str" cm="1">
        <f t="array" ref="O156">_xlfn.IFS(N156&gt;=54,"old",N156&gt;=31,"middle age",N156&gt;=18,"adolsent",N156&lt;18,"invalid")</f>
        <v>adolsent</v>
      </c>
      <c r="P156" t="s">
        <v>15</v>
      </c>
    </row>
    <row r="157" spans="3:16" x14ac:dyDescent="0.3">
      <c r="C157">
        <v>13662</v>
      </c>
      <c r="D157" t="s">
        <v>37</v>
      </c>
      <c r="E157" t="s">
        <v>38</v>
      </c>
      <c r="F157" s="3">
        <v>20000</v>
      </c>
      <c r="G157">
        <v>0</v>
      </c>
      <c r="H157" t="s">
        <v>29</v>
      </c>
      <c r="I157" t="s">
        <v>25</v>
      </c>
      <c r="J157" t="s">
        <v>15</v>
      </c>
      <c r="K157">
        <v>2</v>
      </c>
      <c r="L157" t="s">
        <v>26</v>
      </c>
      <c r="M157" t="s">
        <v>17</v>
      </c>
      <c r="N157">
        <v>31</v>
      </c>
      <c r="O157" t="str" cm="1">
        <f t="array" ref="O157">_xlfn.IFS(N157&gt;=54,"old",N157&gt;=31,"middle age",N157&gt;=18,"adolsent",N157&lt;18,"invalid")</f>
        <v>middle age</v>
      </c>
      <c r="P157" t="s">
        <v>15</v>
      </c>
    </row>
    <row r="158" spans="3:16" x14ac:dyDescent="0.3">
      <c r="C158">
        <v>13673</v>
      </c>
      <c r="D158" t="s">
        <v>37</v>
      </c>
      <c r="E158" t="s">
        <v>39</v>
      </c>
      <c r="F158" s="3">
        <v>20000</v>
      </c>
      <c r="G158">
        <v>0</v>
      </c>
      <c r="H158" t="s">
        <v>29</v>
      </c>
      <c r="I158" t="s">
        <v>25</v>
      </c>
      <c r="J158" t="s">
        <v>18</v>
      </c>
      <c r="K158">
        <v>2</v>
      </c>
      <c r="L158" t="s">
        <v>16</v>
      </c>
      <c r="M158" t="s">
        <v>17</v>
      </c>
      <c r="N158">
        <v>25</v>
      </c>
      <c r="O158" t="str" cm="1">
        <f t="array" ref="O158">_xlfn.IFS(N158&gt;=54,"old",N158&gt;=31,"middle age",N158&gt;=18,"adolsent",N158&lt;18,"invalid")</f>
        <v>adolsent</v>
      </c>
      <c r="P158" t="s">
        <v>18</v>
      </c>
    </row>
    <row r="159" spans="3:16" x14ac:dyDescent="0.3">
      <c r="C159">
        <v>13683</v>
      </c>
      <c r="D159" t="s">
        <v>37</v>
      </c>
      <c r="E159" t="s">
        <v>39</v>
      </c>
      <c r="F159" s="3">
        <v>30000</v>
      </c>
      <c r="G159">
        <v>0</v>
      </c>
      <c r="H159" t="s">
        <v>27</v>
      </c>
      <c r="I159" t="s">
        <v>25</v>
      </c>
      <c r="J159" t="s">
        <v>18</v>
      </c>
      <c r="K159">
        <v>1</v>
      </c>
      <c r="L159" t="s">
        <v>22</v>
      </c>
      <c r="M159" t="s">
        <v>17</v>
      </c>
      <c r="N159">
        <v>32</v>
      </c>
      <c r="O159" t="str" cm="1">
        <f t="array" ref="O159">_xlfn.IFS(N159&gt;=54,"old",N159&gt;=31,"middle age",N159&gt;=18,"adolsent",N159&lt;18,"invalid")</f>
        <v>middle age</v>
      </c>
      <c r="P159" t="s">
        <v>18</v>
      </c>
    </row>
    <row r="160" spans="3:16" x14ac:dyDescent="0.3">
      <c r="C160">
        <v>13687</v>
      </c>
      <c r="D160" t="s">
        <v>36</v>
      </c>
      <c r="E160" t="s">
        <v>38</v>
      </c>
      <c r="F160" s="3">
        <v>40000</v>
      </c>
      <c r="G160">
        <v>1</v>
      </c>
      <c r="H160" t="s">
        <v>13</v>
      </c>
      <c r="I160" t="s">
        <v>14</v>
      </c>
      <c r="J160" t="s">
        <v>15</v>
      </c>
      <c r="K160">
        <v>1</v>
      </c>
      <c r="L160" t="s">
        <v>16</v>
      </c>
      <c r="M160" t="s">
        <v>17</v>
      </c>
      <c r="N160">
        <v>33</v>
      </c>
      <c r="O160" t="str" cm="1">
        <f t="array" ref="O160">_xlfn.IFS(N160&gt;=54,"old",N160&gt;=31,"middle age",N160&gt;=18,"adolsent",N160&lt;18,"invalid")</f>
        <v>middle age</v>
      </c>
      <c r="P160" t="s">
        <v>15</v>
      </c>
    </row>
    <row r="161" spans="3:16" x14ac:dyDescent="0.3">
      <c r="C161">
        <v>13690</v>
      </c>
      <c r="D161" t="s">
        <v>37</v>
      </c>
      <c r="E161" t="s">
        <v>39</v>
      </c>
      <c r="F161" s="3">
        <v>20000</v>
      </c>
      <c r="G161">
        <v>0</v>
      </c>
      <c r="H161" t="s">
        <v>29</v>
      </c>
      <c r="I161" t="s">
        <v>25</v>
      </c>
      <c r="J161" t="s">
        <v>18</v>
      </c>
      <c r="K161">
        <v>2</v>
      </c>
      <c r="L161" t="s">
        <v>26</v>
      </c>
      <c r="M161" t="s">
        <v>17</v>
      </c>
      <c r="N161">
        <v>34</v>
      </c>
      <c r="O161" t="str" cm="1">
        <f t="array" ref="O161">_xlfn.IFS(N161&gt;=54,"old",N161&gt;=31,"middle age",N161&gt;=18,"adolsent",N161&lt;18,"invalid")</f>
        <v>middle age</v>
      </c>
      <c r="P161" t="s">
        <v>15</v>
      </c>
    </row>
    <row r="162" spans="3:16" x14ac:dyDescent="0.3">
      <c r="C162">
        <v>13714</v>
      </c>
      <c r="D162" t="s">
        <v>36</v>
      </c>
      <c r="E162" t="s">
        <v>39</v>
      </c>
      <c r="F162" s="3">
        <v>20000</v>
      </c>
      <c r="G162">
        <v>2</v>
      </c>
      <c r="H162" t="s">
        <v>27</v>
      </c>
      <c r="I162" t="s">
        <v>25</v>
      </c>
      <c r="J162" t="s">
        <v>18</v>
      </c>
      <c r="K162">
        <v>2</v>
      </c>
      <c r="L162" t="s">
        <v>26</v>
      </c>
      <c r="M162" t="s">
        <v>32</v>
      </c>
      <c r="N162">
        <v>53</v>
      </c>
      <c r="O162" t="str" cm="1">
        <f t="array" ref="O162">_xlfn.IFS(N162&gt;=54,"old",N162&gt;=31,"middle age",N162&gt;=18,"adolsent",N162&lt;18,"invalid")</f>
        <v>middle age</v>
      </c>
      <c r="P162" t="s">
        <v>15</v>
      </c>
    </row>
    <row r="163" spans="3:16" x14ac:dyDescent="0.3">
      <c r="C163">
        <v>13749</v>
      </c>
      <c r="D163" t="s">
        <v>36</v>
      </c>
      <c r="E163" t="s">
        <v>38</v>
      </c>
      <c r="F163" s="3">
        <v>80000</v>
      </c>
      <c r="G163">
        <v>4</v>
      </c>
      <c r="H163" t="s">
        <v>31</v>
      </c>
      <c r="I163" t="s">
        <v>14</v>
      </c>
      <c r="J163" t="s">
        <v>15</v>
      </c>
      <c r="K163">
        <v>0</v>
      </c>
      <c r="L163" t="s">
        <v>26</v>
      </c>
      <c r="M163" t="s">
        <v>32</v>
      </c>
      <c r="N163">
        <v>47</v>
      </c>
      <c r="O163" t="str" cm="1">
        <f t="array" ref="O163">_xlfn.IFS(N163&gt;=54,"old",N163&gt;=31,"middle age",N163&gt;=18,"adolsent",N163&lt;18,"invalid")</f>
        <v>middle age</v>
      </c>
      <c r="P163" t="s">
        <v>18</v>
      </c>
    </row>
    <row r="164" spans="3:16" x14ac:dyDescent="0.3">
      <c r="C164">
        <v>13754</v>
      </c>
      <c r="D164" t="s">
        <v>37</v>
      </c>
      <c r="E164" t="s">
        <v>39</v>
      </c>
      <c r="F164" s="3">
        <v>80000</v>
      </c>
      <c r="G164">
        <v>4</v>
      </c>
      <c r="H164" t="s">
        <v>31</v>
      </c>
      <c r="I164" t="s">
        <v>14</v>
      </c>
      <c r="J164" t="s">
        <v>15</v>
      </c>
      <c r="K164">
        <v>0</v>
      </c>
      <c r="L164" t="s">
        <v>26</v>
      </c>
      <c r="M164" t="s">
        <v>32</v>
      </c>
      <c r="N164">
        <v>48</v>
      </c>
      <c r="O164" t="str" cm="1">
        <f t="array" ref="O164">_xlfn.IFS(N164&gt;=54,"old",N164&gt;=31,"middle age",N164&gt;=18,"adolsent",N164&lt;18,"invalid")</f>
        <v>middle age</v>
      </c>
      <c r="P164" t="s">
        <v>18</v>
      </c>
    </row>
    <row r="165" spans="3:16" x14ac:dyDescent="0.3">
      <c r="C165">
        <v>13760</v>
      </c>
      <c r="D165" t="s">
        <v>36</v>
      </c>
      <c r="E165" t="s">
        <v>38</v>
      </c>
      <c r="F165" s="3">
        <v>60000</v>
      </c>
      <c r="G165">
        <v>4</v>
      </c>
      <c r="H165" t="s">
        <v>31</v>
      </c>
      <c r="I165" t="s">
        <v>14</v>
      </c>
      <c r="J165" t="s">
        <v>18</v>
      </c>
      <c r="K165">
        <v>0</v>
      </c>
      <c r="L165" t="s">
        <v>16</v>
      </c>
      <c r="M165" t="s">
        <v>32</v>
      </c>
      <c r="N165">
        <v>47</v>
      </c>
      <c r="O165" t="str" cm="1">
        <f t="array" ref="O165">_xlfn.IFS(N165&gt;=54,"old",N165&gt;=31,"middle age",N165&gt;=18,"adolsent",N165&lt;18,"invalid")</f>
        <v>middle age</v>
      </c>
      <c r="P165" t="s">
        <v>18</v>
      </c>
    </row>
    <row r="166" spans="3:16" x14ac:dyDescent="0.3">
      <c r="C166">
        <v>13813</v>
      </c>
      <c r="D166" t="s">
        <v>36</v>
      </c>
      <c r="E166" t="s">
        <v>39</v>
      </c>
      <c r="F166" s="3">
        <v>30000</v>
      </c>
      <c r="G166">
        <v>3</v>
      </c>
      <c r="H166" t="s">
        <v>19</v>
      </c>
      <c r="I166" t="s">
        <v>20</v>
      </c>
      <c r="J166" t="s">
        <v>18</v>
      </c>
      <c r="K166">
        <v>0</v>
      </c>
      <c r="L166" t="s">
        <v>16</v>
      </c>
      <c r="M166" t="s">
        <v>17</v>
      </c>
      <c r="N166">
        <v>42</v>
      </c>
      <c r="O166" t="str" cm="1">
        <f t="array" ref="O166">_xlfn.IFS(N166&gt;=54,"old",N166&gt;=31,"middle age",N166&gt;=18,"adolsent",N166&lt;18,"invalid")</f>
        <v>middle age</v>
      </c>
      <c r="P166" t="s">
        <v>18</v>
      </c>
    </row>
    <row r="167" spans="3:16" x14ac:dyDescent="0.3">
      <c r="C167">
        <v>13826</v>
      </c>
      <c r="D167" t="s">
        <v>37</v>
      </c>
      <c r="E167" t="s">
        <v>39</v>
      </c>
      <c r="F167" s="3">
        <v>30000</v>
      </c>
      <c r="G167">
        <v>0</v>
      </c>
      <c r="H167" t="s">
        <v>19</v>
      </c>
      <c r="I167" t="s">
        <v>20</v>
      </c>
      <c r="J167" t="s">
        <v>18</v>
      </c>
      <c r="K167">
        <v>1</v>
      </c>
      <c r="L167" t="s">
        <v>16</v>
      </c>
      <c r="M167" t="s">
        <v>17</v>
      </c>
      <c r="N167">
        <v>28</v>
      </c>
      <c r="O167" t="str" cm="1">
        <f t="array" ref="O167">_xlfn.IFS(N167&gt;=54,"old",N167&gt;=31,"middle age",N167&gt;=18,"adolsent",N167&lt;18,"invalid")</f>
        <v>adolsent</v>
      </c>
      <c r="P167" t="s">
        <v>18</v>
      </c>
    </row>
    <row r="168" spans="3:16" x14ac:dyDescent="0.3">
      <c r="C168">
        <v>13873</v>
      </c>
      <c r="D168" t="s">
        <v>36</v>
      </c>
      <c r="E168" t="s">
        <v>38</v>
      </c>
      <c r="F168" s="3">
        <v>70000</v>
      </c>
      <c r="G168">
        <v>3</v>
      </c>
      <c r="H168" t="s">
        <v>31</v>
      </c>
      <c r="I168" t="s">
        <v>21</v>
      </c>
      <c r="J168" t="s">
        <v>15</v>
      </c>
      <c r="K168">
        <v>0</v>
      </c>
      <c r="L168" t="s">
        <v>16</v>
      </c>
      <c r="M168" t="s">
        <v>32</v>
      </c>
      <c r="N168">
        <v>35</v>
      </c>
      <c r="O168" t="str" cm="1">
        <f t="array" ref="O168">_xlfn.IFS(N168&gt;=54,"old",N168&gt;=31,"middle age",N168&gt;=18,"adolsent",N168&lt;18,"invalid")</f>
        <v>middle age</v>
      </c>
      <c r="P168" t="s">
        <v>15</v>
      </c>
    </row>
    <row r="169" spans="3:16" x14ac:dyDescent="0.3">
      <c r="C169">
        <v>13886</v>
      </c>
      <c r="D169" t="s">
        <v>36</v>
      </c>
      <c r="E169" t="s">
        <v>39</v>
      </c>
      <c r="F169" s="3">
        <v>70000</v>
      </c>
      <c r="G169">
        <v>4</v>
      </c>
      <c r="H169" t="s">
        <v>31</v>
      </c>
      <c r="I169" t="s">
        <v>21</v>
      </c>
      <c r="J169" t="s">
        <v>15</v>
      </c>
      <c r="K169">
        <v>0</v>
      </c>
      <c r="L169" t="s">
        <v>22</v>
      </c>
      <c r="M169" t="s">
        <v>32</v>
      </c>
      <c r="N169">
        <v>35</v>
      </c>
      <c r="O169" t="str" cm="1">
        <f t="array" ref="O169">_xlfn.IFS(N169&gt;=54,"old",N169&gt;=31,"middle age",N169&gt;=18,"adolsent",N169&lt;18,"invalid")</f>
        <v>middle age</v>
      </c>
      <c r="P169" t="s">
        <v>15</v>
      </c>
    </row>
    <row r="170" spans="3:16" x14ac:dyDescent="0.3">
      <c r="C170">
        <v>13907</v>
      </c>
      <c r="D170" t="s">
        <v>37</v>
      </c>
      <c r="E170" t="s">
        <v>39</v>
      </c>
      <c r="F170" s="3">
        <v>80000</v>
      </c>
      <c r="G170">
        <v>3</v>
      </c>
      <c r="H170" t="s">
        <v>13</v>
      </c>
      <c r="I170" t="s">
        <v>14</v>
      </c>
      <c r="J170" t="s">
        <v>15</v>
      </c>
      <c r="K170">
        <v>1</v>
      </c>
      <c r="L170" t="s">
        <v>16</v>
      </c>
      <c r="M170" t="s">
        <v>32</v>
      </c>
      <c r="N170">
        <v>41</v>
      </c>
      <c r="O170" t="str" cm="1">
        <f t="array" ref="O170">_xlfn.IFS(N170&gt;=54,"old",N170&gt;=31,"middle age",N170&gt;=18,"adolsent",N170&lt;18,"invalid")</f>
        <v>middle age</v>
      </c>
      <c r="P170" t="s">
        <v>15</v>
      </c>
    </row>
    <row r="171" spans="3:16" x14ac:dyDescent="0.3">
      <c r="C171">
        <v>13911</v>
      </c>
      <c r="D171" t="s">
        <v>37</v>
      </c>
      <c r="E171" t="s">
        <v>39</v>
      </c>
      <c r="F171" s="3">
        <v>80000</v>
      </c>
      <c r="G171">
        <v>3</v>
      </c>
      <c r="H171" t="s">
        <v>13</v>
      </c>
      <c r="I171" t="s">
        <v>14</v>
      </c>
      <c r="J171" t="s">
        <v>15</v>
      </c>
      <c r="K171">
        <v>2</v>
      </c>
      <c r="L171" t="s">
        <v>22</v>
      </c>
      <c r="M171" t="s">
        <v>32</v>
      </c>
      <c r="N171">
        <v>41</v>
      </c>
      <c r="O171" t="str" cm="1">
        <f t="array" ref="O171">_xlfn.IFS(N171&gt;=54,"old",N171&gt;=31,"middle age",N171&gt;=18,"adolsent",N171&lt;18,"invalid")</f>
        <v>middle age</v>
      </c>
      <c r="P171" t="s">
        <v>15</v>
      </c>
    </row>
    <row r="172" spans="3:16" x14ac:dyDescent="0.3">
      <c r="C172">
        <v>13920</v>
      </c>
      <c r="D172" t="s">
        <v>37</v>
      </c>
      <c r="E172" t="s">
        <v>39</v>
      </c>
      <c r="F172" s="3">
        <v>50000</v>
      </c>
      <c r="G172">
        <v>4</v>
      </c>
      <c r="H172" t="s">
        <v>13</v>
      </c>
      <c r="I172" t="s">
        <v>14</v>
      </c>
      <c r="J172" t="s">
        <v>15</v>
      </c>
      <c r="K172">
        <v>2</v>
      </c>
      <c r="L172" t="s">
        <v>16</v>
      </c>
      <c r="M172" t="s">
        <v>32</v>
      </c>
      <c r="N172">
        <v>42</v>
      </c>
      <c r="O172" t="str" cm="1">
        <f t="array" ref="O172">_xlfn.IFS(N172&gt;=54,"old",N172&gt;=31,"middle age",N172&gt;=18,"adolsent",N172&lt;18,"invalid")</f>
        <v>middle age</v>
      </c>
      <c r="P172" t="s">
        <v>18</v>
      </c>
    </row>
    <row r="173" spans="3:16" x14ac:dyDescent="0.3">
      <c r="C173">
        <v>13934</v>
      </c>
      <c r="D173" t="s">
        <v>36</v>
      </c>
      <c r="E173" t="s">
        <v>38</v>
      </c>
      <c r="F173" s="3">
        <v>40000</v>
      </c>
      <c r="G173">
        <v>4</v>
      </c>
      <c r="H173" t="s">
        <v>27</v>
      </c>
      <c r="I173" t="s">
        <v>14</v>
      </c>
      <c r="J173" t="s">
        <v>15</v>
      </c>
      <c r="K173">
        <v>2</v>
      </c>
      <c r="L173" t="s">
        <v>22</v>
      </c>
      <c r="M173" t="s">
        <v>32</v>
      </c>
      <c r="N173">
        <v>46</v>
      </c>
      <c r="O173" t="str" cm="1">
        <f t="array" ref="O173">_xlfn.IFS(N173&gt;=54,"old",N173&gt;=31,"middle age",N173&gt;=18,"adolsent",N173&lt;18,"invalid")</f>
        <v>middle age</v>
      </c>
      <c r="P173" t="s">
        <v>18</v>
      </c>
    </row>
    <row r="174" spans="3:16" x14ac:dyDescent="0.3">
      <c r="C174">
        <v>13942</v>
      </c>
      <c r="D174" t="s">
        <v>36</v>
      </c>
      <c r="E174" t="s">
        <v>38</v>
      </c>
      <c r="F174" s="3">
        <v>60000</v>
      </c>
      <c r="G174">
        <v>1</v>
      </c>
      <c r="H174" t="s">
        <v>19</v>
      </c>
      <c r="I174" t="s">
        <v>14</v>
      </c>
      <c r="J174" t="s">
        <v>15</v>
      </c>
      <c r="K174">
        <v>1</v>
      </c>
      <c r="L174" t="s">
        <v>16</v>
      </c>
      <c r="M174" t="s">
        <v>32</v>
      </c>
      <c r="N174">
        <v>46</v>
      </c>
      <c r="O174" t="str" cm="1">
        <f t="array" ref="O174">_xlfn.IFS(N174&gt;=54,"old",N174&gt;=31,"middle age",N174&gt;=18,"adolsent",N174&lt;18,"invalid")</f>
        <v>middle age</v>
      </c>
      <c r="P174" t="s">
        <v>18</v>
      </c>
    </row>
    <row r="175" spans="3:16" x14ac:dyDescent="0.3">
      <c r="C175">
        <v>13961</v>
      </c>
      <c r="D175" t="s">
        <v>36</v>
      </c>
      <c r="E175" t="s">
        <v>39</v>
      </c>
      <c r="F175" s="3">
        <v>80000</v>
      </c>
      <c r="G175">
        <v>5</v>
      </c>
      <c r="H175" t="s">
        <v>31</v>
      </c>
      <c r="I175" t="s">
        <v>28</v>
      </c>
      <c r="J175" t="s">
        <v>15</v>
      </c>
      <c r="K175">
        <v>3</v>
      </c>
      <c r="L175" t="s">
        <v>16</v>
      </c>
      <c r="M175" t="s">
        <v>24</v>
      </c>
      <c r="N175">
        <v>40</v>
      </c>
      <c r="O175" t="str" cm="1">
        <f t="array" ref="O175">_xlfn.IFS(N175&gt;=54,"old",N175&gt;=31,"middle age",N175&gt;=18,"adolsent",N175&lt;18,"invalid")</f>
        <v>middle age</v>
      </c>
      <c r="P175" t="s">
        <v>18</v>
      </c>
    </row>
    <row r="176" spans="3:16" x14ac:dyDescent="0.3">
      <c r="C176">
        <v>13981</v>
      </c>
      <c r="D176" t="s">
        <v>36</v>
      </c>
      <c r="E176" t="s">
        <v>39</v>
      </c>
      <c r="F176" s="3">
        <v>10000</v>
      </c>
      <c r="G176">
        <v>5</v>
      </c>
      <c r="H176" t="s">
        <v>27</v>
      </c>
      <c r="I176" t="s">
        <v>14</v>
      </c>
      <c r="J176" t="s">
        <v>18</v>
      </c>
      <c r="K176">
        <v>3</v>
      </c>
      <c r="L176" t="s">
        <v>26</v>
      </c>
      <c r="M176" t="s">
        <v>24</v>
      </c>
      <c r="N176">
        <v>62</v>
      </c>
      <c r="O176" t="str" cm="1">
        <f t="array" ref="O176">_xlfn.IFS(N176&gt;=54,"old",N176&gt;=31,"middle age",N176&gt;=18,"adolsent",N176&lt;18,"invalid")</f>
        <v>old</v>
      </c>
      <c r="P176" t="s">
        <v>18</v>
      </c>
    </row>
    <row r="177" spans="3:16" x14ac:dyDescent="0.3">
      <c r="C177">
        <v>14032</v>
      </c>
      <c r="D177" t="s">
        <v>36</v>
      </c>
      <c r="E177" t="s">
        <v>38</v>
      </c>
      <c r="F177" s="3">
        <v>70000</v>
      </c>
      <c r="G177">
        <v>2</v>
      </c>
      <c r="H177" t="s">
        <v>27</v>
      </c>
      <c r="I177" t="s">
        <v>14</v>
      </c>
      <c r="J177" t="s">
        <v>18</v>
      </c>
      <c r="K177">
        <v>2</v>
      </c>
      <c r="L177" t="s">
        <v>26</v>
      </c>
      <c r="M177" t="s">
        <v>24</v>
      </c>
      <c r="N177">
        <v>50</v>
      </c>
      <c r="O177" t="str" cm="1">
        <f t="array" ref="O177">_xlfn.IFS(N177&gt;=54,"old",N177&gt;=31,"middle age",N177&gt;=18,"adolsent",N177&lt;18,"invalid")</f>
        <v>middle age</v>
      </c>
      <c r="P177" t="s">
        <v>15</v>
      </c>
    </row>
    <row r="178" spans="3:16" x14ac:dyDescent="0.3">
      <c r="C178">
        <v>14058</v>
      </c>
      <c r="D178" t="s">
        <v>37</v>
      </c>
      <c r="E178" t="s">
        <v>38</v>
      </c>
      <c r="F178" s="3">
        <v>70000</v>
      </c>
      <c r="G178">
        <v>0</v>
      </c>
      <c r="H178" t="s">
        <v>13</v>
      </c>
      <c r="I178" t="s">
        <v>21</v>
      </c>
      <c r="J178" t="s">
        <v>18</v>
      </c>
      <c r="K178">
        <v>1</v>
      </c>
      <c r="L178" t="s">
        <v>23</v>
      </c>
      <c r="M178" t="s">
        <v>24</v>
      </c>
      <c r="N178">
        <v>41</v>
      </c>
      <c r="O178" t="str" cm="1">
        <f t="array" ref="O178">_xlfn.IFS(N178&gt;=54,"old",N178&gt;=31,"middle age",N178&gt;=18,"adolsent",N178&lt;18,"invalid")</f>
        <v>middle age</v>
      </c>
      <c r="P178" t="s">
        <v>15</v>
      </c>
    </row>
    <row r="179" spans="3:16" x14ac:dyDescent="0.3">
      <c r="C179">
        <v>14063</v>
      </c>
      <c r="D179" t="s">
        <v>37</v>
      </c>
      <c r="E179" t="s">
        <v>39</v>
      </c>
      <c r="F179" s="3">
        <v>70000</v>
      </c>
      <c r="G179">
        <v>0</v>
      </c>
      <c r="H179" t="s">
        <v>13</v>
      </c>
      <c r="I179" t="s">
        <v>21</v>
      </c>
      <c r="J179" t="s">
        <v>18</v>
      </c>
      <c r="K179">
        <v>1</v>
      </c>
      <c r="L179" t="s">
        <v>16</v>
      </c>
      <c r="M179" t="s">
        <v>24</v>
      </c>
      <c r="N179">
        <v>42</v>
      </c>
      <c r="O179" t="str" cm="1">
        <f t="array" ref="O179">_xlfn.IFS(N179&gt;=54,"old",N179&gt;=31,"middle age",N179&gt;=18,"adolsent",N179&lt;18,"invalid")</f>
        <v>middle age</v>
      </c>
      <c r="P179" t="s">
        <v>15</v>
      </c>
    </row>
    <row r="180" spans="3:16" x14ac:dyDescent="0.3">
      <c r="C180">
        <v>14077</v>
      </c>
      <c r="D180" t="s">
        <v>37</v>
      </c>
      <c r="E180" t="s">
        <v>38</v>
      </c>
      <c r="F180" s="3">
        <v>30000</v>
      </c>
      <c r="G180">
        <v>0</v>
      </c>
      <c r="H180" t="s">
        <v>27</v>
      </c>
      <c r="I180" t="s">
        <v>14</v>
      </c>
      <c r="J180" t="s">
        <v>15</v>
      </c>
      <c r="K180">
        <v>2</v>
      </c>
      <c r="L180" t="s">
        <v>23</v>
      </c>
      <c r="M180" t="s">
        <v>32</v>
      </c>
      <c r="N180">
        <v>30</v>
      </c>
      <c r="O180" t="str" cm="1">
        <f t="array" ref="O180">_xlfn.IFS(N180&gt;=54,"old",N180&gt;=31,"middle age",N180&gt;=18,"adolsent",N180&lt;18,"invalid")</f>
        <v>adolsent</v>
      </c>
      <c r="P180" t="s">
        <v>18</v>
      </c>
    </row>
    <row r="181" spans="3:16" x14ac:dyDescent="0.3">
      <c r="C181">
        <v>14090</v>
      </c>
      <c r="D181" t="s">
        <v>36</v>
      </c>
      <c r="E181" t="s">
        <v>39</v>
      </c>
      <c r="F181" s="3">
        <v>30000</v>
      </c>
      <c r="G181">
        <v>0</v>
      </c>
      <c r="H181" t="s">
        <v>29</v>
      </c>
      <c r="I181" t="s">
        <v>20</v>
      </c>
      <c r="J181" t="s">
        <v>18</v>
      </c>
      <c r="K181">
        <v>2</v>
      </c>
      <c r="L181" t="s">
        <v>16</v>
      </c>
      <c r="M181" t="s">
        <v>32</v>
      </c>
      <c r="N181">
        <v>28</v>
      </c>
      <c r="O181" t="str" cm="1">
        <f t="array" ref="O181">_xlfn.IFS(N181&gt;=54,"old",N181&gt;=31,"middle age",N181&gt;=18,"adolsent",N181&lt;18,"invalid")</f>
        <v>adolsent</v>
      </c>
      <c r="P181" t="s">
        <v>18</v>
      </c>
    </row>
    <row r="182" spans="3:16" x14ac:dyDescent="0.3">
      <c r="C182">
        <v>14092</v>
      </c>
      <c r="D182" t="s">
        <v>37</v>
      </c>
      <c r="E182" t="s">
        <v>38</v>
      </c>
      <c r="F182" s="3">
        <v>30000</v>
      </c>
      <c r="G182">
        <v>0</v>
      </c>
      <c r="H182" t="s">
        <v>29</v>
      </c>
      <c r="I182" t="s">
        <v>20</v>
      </c>
      <c r="J182" t="s">
        <v>15</v>
      </c>
      <c r="K182">
        <v>2</v>
      </c>
      <c r="L182" t="s">
        <v>23</v>
      </c>
      <c r="M182" t="s">
        <v>32</v>
      </c>
      <c r="N182">
        <v>28</v>
      </c>
      <c r="O182" t="str" cm="1">
        <f t="array" ref="O182">_xlfn.IFS(N182&gt;=54,"old",N182&gt;=31,"middle age",N182&gt;=18,"adolsent",N182&lt;18,"invalid")</f>
        <v>adolsent</v>
      </c>
      <c r="P182" t="s">
        <v>18</v>
      </c>
    </row>
    <row r="183" spans="3:16" x14ac:dyDescent="0.3">
      <c r="C183">
        <v>14135</v>
      </c>
      <c r="D183" t="s">
        <v>36</v>
      </c>
      <c r="E183" t="s">
        <v>38</v>
      </c>
      <c r="F183" s="3">
        <v>20000</v>
      </c>
      <c r="G183">
        <v>1</v>
      </c>
      <c r="H183" t="s">
        <v>19</v>
      </c>
      <c r="I183" t="s">
        <v>25</v>
      </c>
      <c r="J183" t="s">
        <v>15</v>
      </c>
      <c r="K183">
        <v>0</v>
      </c>
      <c r="L183" t="s">
        <v>26</v>
      </c>
      <c r="M183" t="s">
        <v>17</v>
      </c>
      <c r="N183">
        <v>35</v>
      </c>
      <c r="O183" t="str" cm="1">
        <f t="array" ref="O183">_xlfn.IFS(N183&gt;=54,"old",N183&gt;=31,"middle age",N183&gt;=18,"adolsent",N183&lt;18,"invalid")</f>
        <v>middle age</v>
      </c>
      <c r="P183" t="s">
        <v>18</v>
      </c>
    </row>
    <row r="184" spans="3:16" x14ac:dyDescent="0.3">
      <c r="C184">
        <v>14154</v>
      </c>
      <c r="D184" t="s">
        <v>36</v>
      </c>
      <c r="E184" t="s">
        <v>38</v>
      </c>
      <c r="F184" s="3">
        <v>30000</v>
      </c>
      <c r="G184">
        <v>0</v>
      </c>
      <c r="H184" t="s">
        <v>13</v>
      </c>
      <c r="I184" t="s">
        <v>20</v>
      </c>
      <c r="J184" t="s">
        <v>15</v>
      </c>
      <c r="K184">
        <v>0</v>
      </c>
      <c r="L184" t="s">
        <v>16</v>
      </c>
      <c r="M184" t="s">
        <v>17</v>
      </c>
      <c r="N184">
        <v>35</v>
      </c>
      <c r="O184" t="str" cm="1">
        <f t="array" ref="O184">_xlfn.IFS(N184&gt;=54,"old",N184&gt;=31,"middle age",N184&gt;=18,"adolsent",N184&lt;18,"invalid")</f>
        <v>middle age</v>
      </c>
      <c r="P184" t="s">
        <v>15</v>
      </c>
    </row>
    <row r="185" spans="3:16" x14ac:dyDescent="0.3">
      <c r="C185">
        <v>14164</v>
      </c>
      <c r="D185" t="s">
        <v>37</v>
      </c>
      <c r="E185" t="s">
        <v>39</v>
      </c>
      <c r="F185" s="3">
        <v>50000</v>
      </c>
      <c r="G185">
        <v>0</v>
      </c>
      <c r="H185" t="s">
        <v>31</v>
      </c>
      <c r="I185" t="s">
        <v>14</v>
      </c>
      <c r="J185" t="s">
        <v>15</v>
      </c>
      <c r="K185">
        <v>0</v>
      </c>
      <c r="L185" t="s">
        <v>16</v>
      </c>
      <c r="M185" t="s">
        <v>17</v>
      </c>
      <c r="N185">
        <v>36</v>
      </c>
      <c r="O185" t="str" cm="1">
        <f t="array" ref="O185">_xlfn.IFS(N185&gt;=54,"old",N185&gt;=31,"middle age",N185&gt;=18,"adolsent",N185&lt;18,"invalid")</f>
        <v>middle age</v>
      </c>
      <c r="P185" t="s">
        <v>15</v>
      </c>
    </row>
    <row r="186" spans="3:16" x14ac:dyDescent="0.3">
      <c r="C186">
        <v>14177</v>
      </c>
      <c r="D186" t="s">
        <v>36</v>
      </c>
      <c r="E186" t="s">
        <v>38</v>
      </c>
      <c r="F186" s="3">
        <v>80000</v>
      </c>
      <c r="G186">
        <v>5</v>
      </c>
      <c r="H186" t="s">
        <v>19</v>
      </c>
      <c r="I186" t="s">
        <v>21</v>
      </c>
      <c r="J186" t="s">
        <v>18</v>
      </c>
      <c r="K186">
        <v>2</v>
      </c>
      <c r="L186" t="s">
        <v>22</v>
      </c>
      <c r="M186" t="s">
        <v>17</v>
      </c>
      <c r="N186">
        <v>60</v>
      </c>
      <c r="O186" t="str" cm="1">
        <f t="array" ref="O186">_xlfn.IFS(N186&gt;=54,"old",N186&gt;=31,"middle age",N186&gt;=18,"adolsent",N186&lt;18,"invalid")</f>
        <v>old</v>
      </c>
      <c r="P186" t="s">
        <v>18</v>
      </c>
    </row>
    <row r="187" spans="3:16" x14ac:dyDescent="0.3">
      <c r="C187">
        <v>14189</v>
      </c>
      <c r="D187" t="s">
        <v>36</v>
      </c>
      <c r="E187" t="s">
        <v>39</v>
      </c>
      <c r="F187" s="3">
        <v>90000</v>
      </c>
      <c r="G187">
        <v>4</v>
      </c>
      <c r="H187" t="s">
        <v>27</v>
      </c>
      <c r="I187" t="s">
        <v>21</v>
      </c>
      <c r="J187" t="s">
        <v>18</v>
      </c>
      <c r="K187">
        <v>2</v>
      </c>
      <c r="L187" t="s">
        <v>22</v>
      </c>
      <c r="M187" t="s">
        <v>17</v>
      </c>
      <c r="N187">
        <v>54</v>
      </c>
      <c r="O187" t="str" cm="1">
        <f t="array" ref="O187">_xlfn.IFS(N187&gt;=54,"old",N187&gt;=31,"middle age",N187&gt;=18,"adolsent",N187&lt;18,"invalid")</f>
        <v>old</v>
      </c>
      <c r="P187" t="s">
        <v>15</v>
      </c>
    </row>
    <row r="188" spans="3:16" x14ac:dyDescent="0.3">
      <c r="C188">
        <v>14191</v>
      </c>
      <c r="D188" t="s">
        <v>36</v>
      </c>
      <c r="E188" t="s">
        <v>38</v>
      </c>
      <c r="F188" s="3">
        <v>160000</v>
      </c>
      <c r="G188">
        <v>4</v>
      </c>
      <c r="H188" t="s">
        <v>19</v>
      </c>
      <c r="I188" t="s">
        <v>21</v>
      </c>
      <c r="J188" t="s">
        <v>18</v>
      </c>
      <c r="K188">
        <v>2</v>
      </c>
      <c r="L188" t="s">
        <v>30</v>
      </c>
      <c r="M188" t="s">
        <v>17</v>
      </c>
      <c r="N188">
        <v>55</v>
      </c>
      <c r="O188" t="str" cm="1">
        <f t="array" ref="O188">_xlfn.IFS(N188&gt;=54,"old",N188&gt;=31,"middle age",N188&gt;=18,"adolsent",N188&lt;18,"invalid")</f>
        <v>old</v>
      </c>
      <c r="P188" t="s">
        <v>15</v>
      </c>
    </row>
    <row r="189" spans="3:16" x14ac:dyDescent="0.3">
      <c r="C189">
        <v>14192</v>
      </c>
      <c r="D189" t="s">
        <v>36</v>
      </c>
      <c r="E189" t="s">
        <v>38</v>
      </c>
      <c r="F189" s="3">
        <v>90000</v>
      </c>
      <c r="G189">
        <v>4</v>
      </c>
      <c r="H189" t="s">
        <v>27</v>
      </c>
      <c r="I189" t="s">
        <v>28</v>
      </c>
      <c r="J189" t="s">
        <v>15</v>
      </c>
      <c r="K189">
        <v>3</v>
      </c>
      <c r="L189" t="s">
        <v>23</v>
      </c>
      <c r="M189" t="s">
        <v>17</v>
      </c>
      <c r="N189">
        <v>56</v>
      </c>
      <c r="O189" t="str" cm="1">
        <f t="array" ref="O189">_xlfn.IFS(N189&gt;=54,"old",N189&gt;=31,"middle age",N189&gt;=18,"adolsent",N189&lt;18,"invalid")</f>
        <v>old</v>
      </c>
      <c r="P189" t="s">
        <v>15</v>
      </c>
    </row>
    <row r="190" spans="3:16" x14ac:dyDescent="0.3">
      <c r="C190">
        <v>14193</v>
      </c>
      <c r="D190" t="s">
        <v>37</v>
      </c>
      <c r="E190" t="s">
        <v>39</v>
      </c>
      <c r="F190" s="3">
        <v>100000</v>
      </c>
      <c r="G190">
        <v>3</v>
      </c>
      <c r="H190" t="s">
        <v>19</v>
      </c>
      <c r="I190" t="s">
        <v>28</v>
      </c>
      <c r="J190" t="s">
        <v>15</v>
      </c>
      <c r="K190">
        <v>4</v>
      </c>
      <c r="L190" t="s">
        <v>30</v>
      </c>
      <c r="M190" t="s">
        <v>17</v>
      </c>
      <c r="N190">
        <v>56</v>
      </c>
      <c r="O190" t="str" cm="1">
        <f t="array" ref="O190">_xlfn.IFS(N190&gt;=54,"old",N190&gt;=31,"middle age",N190&gt;=18,"adolsent",N190&lt;18,"invalid")</f>
        <v>old</v>
      </c>
      <c r="P190" t="s">
        <v>18</v>
      </c>
    </row>
    <row r="191" spans="3:16" x14ac:dyDescent="0.3">
      <c r="C191">
        <v>14233</v>
      </c>
      <c r="D191" t="s">
        <v>37</v>
      </c>
      <c r="E191" t="s">
        <v>38</v>
      </c>
      <c r="F191" s="3">
        <v>100000</v>
      </c>
      <c r="G191">
        <v>0</v>
      </c>
      <c r="H191" t="s">
        <v>27</v>
      </c>
      <c r="I191" t="s">
        <v>28</v>
      </c>
      <c r="J191" t="s">
        <v>15</v>
      </c>
      <c r="K191">
        <v>3</v>
      </c>
      <c r="L191" t="s">
        <v>30</v>
      </c>
      <c r="M191" t="s">
        <v>24</v>
      </c>
      <c r="N191">
        <v>35</v>
      </c>
      <c r="O191" t="str" cm="1">
        <f t="array" ref="O191">_xlfn.IFS(N191&gt;=54,"old",N191&gt;=31,"middle age",N191&gt;=18,"adolsent",N191&lt;18,"invalid")</f>
        <v>middle age</v>
      </c>
      <c r="P191" t="s">
        <v>18</v>
      </c>
    </row>
    <row r="192" spans="3:16" x14ac:dyDescent="0.3">
      <c r="C192">
        <v>14238</v>
      </c>
      <c r="D192" t="s">
        <v>36</v>
      </c>
      <c r="E192" t="s">
        <v>38</v>
      </c>
      <c r="F192" s="3">
        <v>120000</v>
      </c>
      <c r="G192">
        <v>0</v>
      </c>
      <c r="H192" t="s">
        <v>29</v>
      </c>
      <c r="I192" t="s">
        <v>21</v>
      </c>
      <c r="J192" t="s">
        <v>15</v>
      </c>
      <c r="K192">
        <v>4</v>
      </c>
      <c r="L192" t="s">
        <v>30</v>
      </c>
      <c r="M192" t="s">
        <v>24</v>
      </c>
      <c r="N192">
        <v>36</v>
      </c>
      <c r="O192" t="str" cm="1">
        <f t="array" ref="O192">_xlfn.IFS(N192&gt;=54,"old",N192&gt;=31,"middle age",N192&gt;=18,"adolsent",N192&lt;18,"invalid")</f>
        <v>middle age</v>
      </c>
      <c r="P192" t="s">
        <v>15</v>
      </c>
    </row>
    <row r="193" spans="3:16" x14ac:dyDescent="0.3">
      <c r="C193">
        <v>14271</v>
      </c>
      <c r="D193" t="s">
        <v>36</v>
      </c>
      <c r="E193" t="s">
        <v>38</v>
      </c>
      <c r="F193" s="3">
        <v>30000</v>
      </c>
      <c r="G193">
        <v>0</v>
      </c>
      <c r="H193" t="s">
        <v>27</v>
      </c>
      <c r="I193" t="s">
        <v>14</v>
      </c>
      <c r="J193" t="s">
        <v>15</v>
      </c>
      <c r="K193">
        <v>2</v>
      </c>
      <c r="L193" t="s">
        <v>23</v>
      </c>
      <c r="M193" t="s">
        <v>32</v>
      </c>
      <c r="N193">
        <v>32</v>
      </c>
      <c r="O193" t="str" cm="1">
        <f t="array" ref="O193">_xlfn.IFS(N193&gt;=54,"old",N193&gt;=31,"middle age",N193&gt;=18,"adolsent",N193&lt;18,"invalid")</f>
        <v>middle age</v>
      </c>
      <c r="P193" t="s">
        <v>18</v>
      </c>
    </row>
    <row r="194" spans="3:16" x14ac:dyDescent="0.3">
      <c r="C194">
        <v>14278</v>
      </c>
      <c r="D194" t="s">
        <v>36</v>
      </c>
      <c r="E194" t="s">
        <v>39</v>
      </c>
      <c r="F194" s="3">
        <v>130000</v>
      </c>
      <c r="G194">
        <v>0</v>
      </c>
      <c r="H194" t="s">
        <v>31</v>
      </c>
      <c r="I194" t="s">
        <v>28</v>
      </c>
      <c r="J194" t="s">
        <v>15</v>
      </c>
      <c r="K194">
        <v>1</v>
      </c>
      <c r="L194" t="s">
        <v>30</v>
      </c>
      <c r="M194" t="s">
        <v>24</v>
      </c>
      <c r="N194">
        <v>48</v>
      </c>
      <c r="O194" t="str" cm="1">
        <f t="array" ref="O194">_xlfn.IFS(N194&gt;=54,"old",N194&gt;=31,"middle age",N194&gt;=18,"adolsent",N194&lt;18,"invalid")</f>
        <v>middle age</v>
      </c>
      <c r="P194" t="s">
        <v>18</v>
      </c>
    </row>
    <row r="195" spans="3:16" x14ac:dyDescent="0.3">
      <c r="C195">
        <v>14284</v>
      </c>
      <c r="D195" t="s">
        <v>37</v>
      </c>
      <c r="E195" t="s">
        <v>38</v>
      </c>
      <c r="F195" s="3">
        <v>60000</v>
      </c>
      <c r="G195">
        <v>0</v>
      </c>
      <c r="H195" t="s">
        <v>19</v>
      </c>
      <c r="I195" t="s">
        <v>21</v>
      </c>
      <c r="J195" t="s">
        <v>18</v>
      </c>
      <c r="K195">
        <v>2</v>
      </c>
      <c r="L195" t="s">
        <v>26</v>
      </c>
      <c r="M195" t="s">
        <v>32</v>
      </c>
      <c r="N195">
        <v>32</v>
      </c>
      <c r="O195" t="str" cm="1">
        <f t="array" ref="O195">_xlfn.IFS(N195&gt;=54,"old",N195&gt;=31,"middle age",N195&gt;=18,"adolsent",N195&lt;18,"invalid")</f>
        <v>middle age</v>
      </c>
      <c r="P195" t="s">
        <v>15</v>
      </c>
    </row>
    <row r="196" spans="3:16" x14ac:dyDescent="0.3">
      <c r="C196">
        <v>14312</v>
      </c>
      <c r="D196" t="s">
        <v>36</v>
      </c>
      <c r="E196" t="s">
        <v>39</v>
      </c>
      <c r="F196" s="3">
        <v>60000</v>
      </c>
      <c r="G196">
        <v>1</v>
      </c>
      <c r="H196" t="s">
        <v>19</v>
      </c>
      <c r="I196" t="s">
        <v>14</v>
      </c>
      <c r="J196" t="s">
        <v>15</v>
      </c>
      <c r="K196">
        <v>1</v>
      </c>
      <c r="L196" t="s">
        <v>23</v>
      </c>
      <c r="M196" t="s">
        <v>24</v>
      </c>
      <c r="N196">
        <v>45</v>
      </c>
      <c r="O196" t="str" cm="1">
        <f t="array" ref="O196">_xlfn.IFS(N196&gt;=54,"old",N196&gt;=31,"middle age",N196&gt;=18,"adolsent",N196&lt;18,"invalid")</f>
        <v>middle age</v>
      </c>
      <c r="P196" t="s">
        <v>18</v>
      </c>
    </row>
    <row r="197" spans="3:16" x14ac:dyDescent="0.3">
      <c r="C197">
        <v>14332</v>
      </c>
      <c r="D197" t="s">
        <v>37</v>
      </c>
      <c r="E197" t="s">
        <v>39</v>
      </c>
      <c r="F197" s="3">
        <v>30000</v>
      </c>
      <c r="G197">
        <v>0</v>
      </c>
      <c r="H197" t="s">
        <v>27</v>
      </c>
      <c r="I197" t="s">
        <v>14</v>
      </c>
      <c r="J197" t="s">
        <v>18</v>
      </c>
      <c r="K197">
        <v>2</v>
      </c>
      <c r="L197" t="s">
        <v>23</v>
      </c>
      <c r="M197" t="s">
        <v>32</v>
      </c>
      <c r="N197">
        <v>26</v>
      </c>
      <c r="O197" t="str" cm="1">
        <f t="array" ref="O197">_xlfn.IFS(N197&gt;=54,"old",N197&gt;=31,"middle age",N197&gt;=18,"adolsent",N197&lt;18,"invalid")</f>
        <v>adolsent</v>
      </c>
      <c r="P197" t="s">
        <v>18</v>
      </c>
    </row>
    <row r="198" spans="3:16" x14ac:dyDescent="0.3">
      <c r="C198">
        <v>14347</v>
      </c>
      <c r="D198" t="s">
        <v>37</v>
      </c>
      <c r="E198" t="s">
        <v>39</v>
      </c>
      <c r="F198" s="3">
        <v>40000</v>
      </c>
      <c r="G198">
        <v>2</v>
      </c>
      <c r="H198" t="s">
        <v>13</v>
      </c>
      <c r="I198" t="s">
        <v>28</v>
      </c>
      <c r="J198" t="s">
        <v>15</v>
      </c>
      <c r="K198">
        <v>2</v>
      </c>
      <c r="L198" t="s">
        <v>23</v>
      </c>
      <c r="M198" t="s">
        <v>24</v>
      </c>
      <c r="N198">
        <v>65</v>
      </c>
      <c r="O198" t="str" cm="1">
        <f t="array" ref="O198">_xlfn.IFS(N198&gt;=54,"old",N198&gt;=31,"middle age",N198&gt;=18,"adolsent",N198&lt;18,"invalid")</f>
        <v>old</v>
      </c>
      <c r="P198" t="s">
        <v>15</v>
      </c>
    </row>
    <row r="199" spans="3:16" x14ac:dyDescent="0.3">
      <c r="C199">
        <v>14389</v>
      </c>
      <c r="D199" t="s">
        <v>36</v>
      </c>
      <c r="E199" t="s">
        <v>38</v>
      </c>
      <c r="F199" s="3">
        <v>60000</v>
      </c>
      <c r="G199">
        <v>2</v>
      </c>
      <c r="H199" t="s">
        <v>13</v>
      </c>
      <c r="I199" t="s">
        <v>28</v>
      </c>
      <c r="J199" t="s">
        <v>15</v>
      </c>
      <c r="K199">
        <v>0</v>
      </c>
      <c r="L199" t="s">
        <v>22</v>
      </c>
      <c r="M199" t="s">
        <v>32</v>
      </c>
      <c r="N199">
        <v>59</v>
      </c>
      <c r="O199" t="str" cm="1">
        <f t="array" ref="O199">_xlfn.IFS(N199&gt;=54,"old",N199&gt;=31,"middle age",N199&gt;=18,"adolsent",N199&lt;18,"invalid")</f>
        <v>old</v>
      </c>
      <c r="P199" t="s">
        <v>18</v>
      </c>
    </row>
    <row r="200" spans="3:16" x14ac:dyDescent="0.3">
      <c r="C200">
        <v>14417</v>
      </c>
      <c r="D200" t="s">
        <v>37</v>
      </c>
      <c r="E200" t="s">
        <v>38</v>
      </c>
      <c r="F200" s="3">
        <v>60000</v>
      </c>
      <c r="G200">
        <v>3</v>
      </c>
      <c r="H200" t="s">
        <v>27</v>
      </c>
      <c r="I200" t="s">
        <v>21</v>
      </c>
      <c r="J200" t="s">
        <v>15</v>
      </c>
      <c r="K200">
        <v>2</v>
      </c>
      <c r="L200" t="s">
        <v>30</v>
      </c>
      <c r="M200" t="s">
        <v>32</v>
      </c>
      <c r="N200">
        <v>54</v>
      </c>
      <c r="O200" t="str" cm="1">
        <f t="array" ref="O200">_xlfn.IFS(N200&gt;=54,"old",N200&gt;=31,"middle age",N200&gt;=18,"adolsent",N200&lt;18,"invalid")</f>
        <v>old</v>
      </c>
      <c r="P200" t="s">
        <v>15</v>
      </c>
    </row>
    <row r="201" spans="3:16" x14ac:dyDescent="0.3">
      <c r="C201">
        <v>14432</v>
      </c>
      <c r="D201" t="s">
        <v>37</v>
      </c>
      <c r="E201" t="s">
        <v>38</v>
      </c>
      <c r="F201" s="3">
        <v>90000</v>
      </c>
      <c r="G201">
        <v>4</v>
      </c>
      <c r="H201" t="s">
        <v>31</v>
      </c>
      <c r="I201" t="s">
        <v>28</v>
      </c>
      <c r="J201" t="s">
        <v>15</v>
      </c>
      <c r="K201">
        <v>1</v>
      </c>
      <c r="L201" t="s">
        <v>23</v>
      </c>
      <c r="M201" t="s">
        <v>32</v>
      </c>
      <c r="N201">
        <v>73</v>
      </c>
      <c r="O201" t="str" cm="1">
        <f t="array" ref="O201">_xlfn.IFS(N201&gt;=54,"old",N201&gt;=31,"middle age",N201&gt;=18,"adolsent",N201&lt;18,"invalid")</f>
        <v>old</v>
      </c>
      <c r="P201" t="s">
        <v>18</v>
      </c>
    </row>
    <row r="202" spans="3:16" x14ac:dyDescent="0.3">
      <c r="C202">
        <v>14443</v>
      </c>
      <c r="D202" t="s">
        <v>36</v>
      </c>
      <c r="E202" t="s">
        <v>38</v>
      </c>
      <c r="F202" s="3">
        <v>130000</v>
      </c>
      <c r="G202">
        <v>1</v>
      </c>
      <c r="H202" t="s">
        <v>31</v>
      </c>
      <c r="I202" t="s">
        <v>28</v>
      </c>
      <c r="J202" t="s">
        <v>15</v>
      </c>
      <c r="K202">
        <v>4</v>
      </c>
      <c r="L202" t="s">
        <v>16</v>
      </c>
      <c r="M202" t="s">
        <v>32</v>
      </c>
      <c r="N202">
        <v>40</v>
      </c>
      <c r="O202" t="str" cm="1">
        <f t="array" ref="O202">_xlfn.IFS(N202&gt;=54,"old",N202&gt;=31,"middle age",N202&gt;=18,"adolsent",N202&lt;18,"invalid")</f>
        <v>middle age</v>
      </c>
      <c r="P202" t="s">
        <v>18</v>
      </c>
    </row>
    <row r="203" spans="3:16" x14ac:dyDescent="0.3">
      <c r="C203">
        <v>14469</v>
      </c>
      <c r="D203" t="s">
        <v>36</v>
      </c>
      <c r="E203" t="s">
        <v>39</v>
      </c>
      <c r="F203" s="3">
        <v>100000</v>
      </c>
      <c r="G203">
        <v>3</v>
      </c>
      <c r="H203" t="s">
        <v>19</v>
      </c>
      <c r="I203" t="s">
        <v>21</v>
      </c>
      <c r="J203" t="s">
        <v>15</v>
      </c>
      <c r="K203">
        <v>4</v>
      </c>
      <c r="L203" t="s">
        <v>26</v>
      </c>
      <c r="M203" t="s">
        <v>32</v>
      </c>
      <c r="N203">
        <v>45</v>
      </c>
      <c r="O203" t="str" cm="1">
        <f t="array" ref="O203">_xlfn.IFS(N203&gt;=54,"old",N203&gt;=31,"middle age",N203&gt;=18,"adolsent",N203&lt;18,"invalid")</f>
        <v>middle age</v>
      </c>
      <c r="P203" t="s">
        <v>18</v>
      </c>
    </row>
    <row r="204" spans="3:16" x14ac:dyDescent="0.3">
      <c r="C204">
        <v>14493</v>
      </c>
      <c r="D204" t="s">
        <v>37</v>
      </c>
      <c r="E204" t="s">
        <v>39</v>
      </c>
      <c r="F204" s="3">
        <v>70000</v>
      </c>
      <c r="G204">
        <v>3</v>
      </c>
      <c r="H204" t="s">
        <v>31</v>
      </c>
      <c r="I204" t="s">
        <v>28</v>
      </c>
      <c r="J204" t="s">
        <v>18</v>
      </c>
      <c r="K204">
        <v>2</v>
      </c>
      <c r="L204" t="s">
        <v>26</v>
      </c>
      <c r="M204" t="s">
        <v>32</v>
      </c>
      <c r="N204">
        <v>53</v>
      </c>
      <c r="O204" t="str" cm="1">
        <f t="array" ref="O204">_xlfn.IFS(N204&gt;=54,"old",N204&gt;=31,"middle age",N204&gt;=18,"adolsent",N204&lt;18,"invalid")</f>
        <v>middle age</v>
      </c>
      <c r="P204" t="s">
        <v>18</v>
      </c>
    </row>
    <row r="205" spans="3:16" x14ac:dyDescent="0.3">
      <c r="C205">
        <v>14495</v>
      </c>
      <c r="D205" t="s">
        <v>36</v>
      </c>
      <c r="E205" t="s">
        <v>38</v>
      </c>
      <c r="F205" s="3">
        <v>40000</v>
      </c>
      <c r="G205">
        <v>3</v>
      </c>
      <c r="H205" t="s">
        <v>19</v>
      </c>
      <c r="I205" t="s">
        <v>21</v>
      </c>
      <c r="J205" t="s">
        <v>18</v>
      </c>
      <c r="K205">
        <v>2</v>
      </c>
      <c r="L205" t="s">
        <v>23</v>
      </c>
      <c r="M205" t="s">
        <v>32</v>
      </c>
      <c r="N205">
        <v>54</v>
      </c>
      <c r="O205" t="str" cm="1">
        <f t="array" ref="O205">_xlfn.IFS(N205&gt;=54,"old",N205&gt;=31,"middle age",N205&gt;=18,"adolsent",N205&lt;18,"invalid")</f>
        <v>old</v>
      </c>
      <c r="P205" t="s">
        <v>15</v>
      </c>
    </row>
    <row r="206" spans="3:16" x14ac:dyDescent="0.3">
      <c r="C206">
        <v>14507</v>
      </c>
      <c r="D206" t="s">
        <v>36</v>
      </c>
      <c r="E206" t="s">
        <v>38</v>
      </c>
      <c r="F206" s="3">
        <v>100000</v>
      </c>
      <c r="G206">
        <v>2</v>
      </c>
      <c r="H206" t="s">
        <v>31</v>
      </c>
      <c r="I206" t="s">
        <v>28</v>
      </c>
      <c r="J206" t="s">
        <v>15</v>
      </c>
      <c r="K206">
        <v>3</v>
      </c>
      <c r="L206" t="s">
        <v>26</v>
      </c>
      <c r="M206" t="s">
        <v>32</v>
      </c>
      <c r="N206">
        <v>65</v>
      </c>
      <c r="O206" t="str" cm="1">
        <f t="array" ref="O206">_xlfn.IFS(N206&gt;=54,"old",N206&gt;=31,"middle age",N206&gt;=18,"adolsent",N206&lt;18,"invalid")</f>
        <v>old</v>
      </c>
      <c r="P206" t="s">
        <v>18</v>
      </c>
    </row>
    <row r="207" spans="3:16" x14ac:dyDescent="0.3">
      <c r="C207">
        <v>14514</v>
      </c>
      <c r="D207" t="s">
        <v>37</v>
      </c>
      <c r="E207" t="s">
        <v>39</v>
      </c>
      <c r="F207" s="3">
        <v>30000</v>
      </c>
      <c r="G207">
        <v>0</v>
      </c>
      <c r="H207" t="s">
        <v>19</v>
      </c>
      <c r="I207" t="s">
        <v>14</v>
      </c>
      <c r="J207" t="s">
        <v>15</v>
      </c>
      <c r="K207">
        <v>1</v>
      </c>
      <c r="L207" t="s">
        <v>23</v>
      </c>
      <c r="M207" t="s">
        <v>32</v>
      </c>
      <c r="N207">
        <v>26</v>
      </c>
      <c r="O207" t="str" cm="1">
        <f t="array" ref="O207">_xlfn.IFS(N207&gt;=54,"old",N207&gt;=31,"middle age",N207&gt;=18,"adolsent",N207&lt;18,"invalid")</f>
        <v>adolsent</v>
      </c>
      <c r="P207" t="s">
        <v>18</v>
      </c>
    </row>
    <row r="208" spans="3:16" x14ac:dyDescent="0.3">
      <c r="C208">
        <v>14517</v>
      </c>
      <c r="D208" t="s">
        <v>36</v>
      </c>
      <c r="E208" t="s">
        <v>39</v>
      </c>
      <c r="F208" s="3">
        <v>20000</v>
      </c>
      <c r="G208">
        <v>3</v>
      </c>
      <c r="H208" t="s">
        <v>27</v>
      </c>
      <c r="I208" t="s">
        <v>14</v>
      </c>
      <c r="J208" t="s">
        <v>18</v>
      </c>
      <c r="K208">
        <v>2</v>
      </c>
      <c r="L208" t="s">
        <v>26</v>
      </c>
      <c r="M208" t="s">
        <v>24</v>
      </c>
      <c r="N208">
        <v>62</v>
      </c>
      <c r="O208" t="str" cm="1">
        <f t="array" ref="O208">_xlfn.IFS(N208&gt;=54,"old",N208&gt;=31,"middle age",N208&gt;=18,"adolsent",N208&lt;18,"invalid")</f>
        <v>old</v>
      </c>
      <c r="P208" t="s">
        <v>18</v>
      </c>
    </row>
    <row r="209" spans="3:16" x14ac:dyDescent="0.3">
      <c r="C209">
        <v>14544</v>
      </c>
      <c r="D209" t="s">
        <v>37</v>
      </c>
      <c r="E209" t="s">
        <v>38</v>
      </c>
      <c r="F209" s="3">
        <v>10000</v>
      </c>
      <c r="G209">
        <v>1</v>
      </c>
      <c r="H209" t="s">
        <v>19</v>
      </c>
      <c r="I209" t="s">
        <v>25</v>
      </c>
      <c r="J209" t="s">
        <v>15</v>
      </c>
      <c r="K209">
        <v>0</v>
      </c>
      <c r="L209" t="s">
        <v>16</v>
      </c>
      <c r="M209" t="s">
        <v>17</v>
      </c>
      <c r="N209">
        <v>49</v>
      </c>
      <c r="O209" t="str" cm="1">
        <f t="array" ref="O209">_xlfn.IFS(N209&gt;=54,"old",N209&gt;=31,"middle age",N209&gt;=18,"adolsent",N209&lt;18,"invalid")</f>
        <v>middle age</v>
      </c>
      <c r="P209" t="s">
        <v>18</v>
      </c>
    </row>
    <row r="210" spans="3:16" x14ac:dyDescent="0.3">
      <c r="C210">
        <v>14545</v>
      </c>
      <c r="D210" t="s">
        <v>36</v>
      </c>
      <c r="E210" t="s">
        <v>39</v>
      </c>
      <c r="F210" s="3">
        <v>10000</v>
      </c>
      <c r="G210">
        <v>2</v>
      </c>
      <c r="H210" t="s">
        <v>19</v>
      </c>
      <c r="I210" t="s">
        <v>25</v>
      </c>
      <c r="J210" t="s">
        <v>15</v>
      </c>
      <c r="K210">
        <v>0</v>
      </c>
      <c r="L210" t="s">
        <v>26</v>
      </c>
      <c r="M210" t="s">
        <v>17</v>
      </c>
      <c r="N210">
        <v>49</v>
      </c>
      <c r="O210" t="str" cm="1">
        <f t="array" ref="O210">_xlfn.IFS(N210&gt;=54,"old",N210&gt;=31,"middle age",N210&gt;=18,"adolsent",N210&lt;18,"invalid")</f>
        <v>middle age</v>
      </c>
      <c r="P210" t="s">
        <v>18</v>
      </c>
    </row>
    <row r="211" spans="3:16" x14ac:dyDescent="0.3">
      <c r="C211">
        <v>14547</v>
      </c>
      <c r="D211" t="s">
        <v>36</v>
      </c>
      <c r="E211" t="s">
        <v>38</v>
      </c>
      <c r="F211" s="3">
        <v>10000</v>
      </c>
      <c r="G211">
        <v>2</v>
      </c>
      <c r="H211" t="s">
        <v>19</v>
      </c>
      <c r="I211" t="s">
        <v>25</v>
      </c>
      <c r="J211" t="s">
        <v>15</v>
      </c>
      <c r="K211">
        <v>0</v>
      </c>
      <c r="L211" t="s">
        <v>26</v>
      </c>
      <c r="M211" t="s">
        <v>17</v>
      </c>
      <c r="N211">
        <v>51</v>
      </c>
      <c r="O211" t="str" cm="1">
        <f t="array" ref="O211">_xlfn.IFS(N211&gt;=54,"old",N211&gt;=31,"middle age",N211&gt;=18,"adolsent",N211&lt;18,"invalid")</f>
        <v>middle age</v>
      </c>
      <c r="P211" t="s">
        <v>18</v>
      </c>
    </row>
    <row r="212" spans="3:16" x14ac:dyDescent="0.3">
      <c r="C212">
        <v>14554</v>
      </c>
      <c r="D212" t="s">
        <v>36</v>
      </c>
      <c r="E212" t="s">
        <v>38</v>
      </c>
      <c r="F212" s="3">
        <v>20000</v>
      </c>
      <c r="G212">
        <v>1</v>
      </c>
      <c r="H212" t="s">
        <v>13</v>
      </c>
      <c r="I212" t="s">
        <v>20</v>
      </c>
      <c r="J212" t="s">
        <v>15</v>
      </c>
      <c r="K212">
        <v>0</v>
      </c>
      <c r="L212" t="s">
        <v>16</v>
      </c>
      <c r="M212" t="s">
        <v>17</v>
      </c>
      <c r="N212">
        <v>66</v>
      </c>
      <c r="O212" t="str" cm="1">
        <f t="array" ref="O212">_xlfn.IFS(N212&gt;=54,"old",N212&gt;=31,"middle age",N212&gt;=18,"adolsent",N212&lt;18,"invalid")</f>
        <v>old</v>
      </c>
      <c r="P212" t="s">
        <v>18</v>
      </c>
    </row>
    <row r="213" spans="3:16" x14ac:dyDescent="0.3">
      <c r="C213">
        <v>14569</v>
      </c>
      <c r="D213" t="s">
        <v>36</v>
      </c>
      <c r="E213" t="s">
        <v>38</v>
      </c>
      <c r="F213" s="3">
        <v>60000</v>
      </c>
      <c r="G213">
        <v>1</v>
      </c>
      <c r="H213" t="s">
        <v>31</v>
      </c>
      <c r="I213" t="s">
        <v>21</v>
      </c>
      <c r="J213" t="s">
        <v>15</v>
      </c>
      <c r="K213">
        <v>0</v>
      </c>
      <c r="L213" t="s">
        <v>16</v>
      </c>
      <c r="M213" t="s">
        <v>32</v>
      </c>
      <c r="N213">
        <v>35</v>
      </c>
      <c r="O213" t="str" cm="1">
        <f t="array" ref="O213">_xlfn.IFS(N213&gt;=54,"old",N213&gt;=31,"middle age",N213&gt;=18,"adolsent",N213&lt;18,"invalid")</f>
        <v>middle age</v>
      </c>
      <c r="P213" t="s">
        <v>18</v>
      </c>
    </row>
    <row r="214" spans="3:16" x14ac:dyDescent="0.3">
      <c r="C214">
        <v>14572</v>
      </c>
      <c r="D214" t="s">
        <v>36</v>
      </c>
      <c r="E214" t="s">
        <v>39</v>
      </c>
      <c r="F214" s="3">
        <v>70000</v>
      </c>
      <c r="G214">
        <v>3</v>
      </c>
      <c r="H214" t="s">
        <v>31</v>
      </c>
      <c r="I214" t="s">
        <v>21</v>
      </c>
      <c r="J214" t="s">
        <v>15</v>
      </c>
      <c r="K214">
        <v>0</v>
      </c>
      <c r="L214" t="s">
        <v>22</v>
      </c>
      <c r="M214" t="s">
        <v>32</v>
      </c>
      <c r="N214">
        <v>35</v>
      </c>
      <c r="O214" t="str" cm="1">
        <f t="array" ref="O214">_xlfn.IFS(N214&gt;=54,"old",N214&gt;=31,"middle age",N214&gt;=18,"adolsent",N214&lt;18,"invalid")</f>
        <v>middle age</v>
      </c>
      <c r="P214" t="s">
        <v>15</v>
      </c>
    </row>
    <row r="215" spans="3:16" x14ac:dyDescent="0.3">
      <c r="C215">
        <v>14592</v>
      </c>
      <c r="D215" t="s">
        <v>36</v>
      </c>
      <c r="E215" t="s">
        <v>39</v>
      </c>
      <c r="F215" s="3">
        <v>60000</v>
      </c>
      <c r="G215">
        <v>0</v>
      </c>
      <c r="H215" t="s">
        <v>31</v>
      </c>
      <c r="I215" t="s">
        <v>21</v>
      </c>
      <c r="J215" t="s">
        <v>15</v>
      </c>
      <c r="K215">
        <v>0</v>
      </c>
      <c r="L215" t="s">
        <v>16</v>
      </c>
      <c r="M215" t="s">
        <v>32</v>
      </c>
      <c r="N215">
        <v>40</v>
      </c>
      <c r="O215" t="str" cm="1">
        <f t="array" ref="O215">_xlfn.IFS(N215&gt;=54,"old",N215&gt;=31,"middle age",N215&gt;=18,"adolsent",N215&lt;18,"invalid")</f>
        <v>middle age</v>
      </c>
      <c r="P215" t="s">
        <v>18</v>
      </c>
    </row>
    <row r="216" spans="3:16" x14ac:dyDescent="0.3">
      <c r="C216">
        <v>14602</v>
      </c>
      <c r="D216" t="s">
        <v>36</v>
      </c>
      <c r="E216" t="s">
        <v>39</v>
      </c>
      <c r="F216" s="3">
        <v>80000</v>
      </c>
      <c r="G216">
        <v>3</v>
      </c>
      <c r="H216" t="s">
        <v>31</v>
      </c>
      <c r="I216" t="s">
        <v>21</v>
      </c>
      <c r="J216" t="s">
        <v>15</v>
      </c>
      <c r="K216">
        <v>0</v>
      </c>
      <c r="L216" t="s">
        <v>16</v>
      </c>
      <c r="M216" t="s">
        <v>32</v>
      </c>
      <c r="N216">
        <v>36</v>
      </c>
      <c r="O216" t="str" cm="1">
        <f t="array" ref="O216">_xlfn.IFS(N216&gt;=54,"old",N216&gt;=31,"middle age",N216&gt;=18,"adolsent",N216&lt;18,"invalid")</f>
        <v>middle age</v>
      </c>
      <c r="P216" t="s">
        <v>15</v>
      </c>
    </row>
    <row r="217" spans="3:16" x14ac:dyDescent="0.3">
      <c r="C217">
        <v>14608</v>
      </c>
      <c r="D217" t="s">
        <v>36</v>
      </c>
      <c r="E217" t="s">
        <v>38</v>
      </c>
      <c r="F217" s="3">
        <v>50000</v>
      </c>
      <c r="G217">
        <v>4</v>
      </c>
      <c r="H217" t="s">
        <v>13</v>
      </c>
      <c r="I217" t="s">
        <v>14</v>
      </c>
      <c r="J217" t="s">
        <v>15</v>
      </c>
      <c r="K217">
        <v>3</v>
      </c>
      <c r="L217" t="s">
        <v>30</v>
      </c>
      <c r="M217" t="s">
        <v>32</v>
      </c>
      <c r="N217">
        <v>42</v>
      </c>
      <c r="O217" t="str" cm="1">
        <f t="array" ref="O217">_xlfn.IFS(N217&gt;=54,"old",N217&gt;=31,"middle age",N217&gt;=18,"adolsent",N217&lt;18,"invalid")</f>
        <v>middle age</v>
      </c>
      <c r="P217" t="s">
        <v>18</v>
      </c>
    </row>
    <row r="218" spans="3:16" x14ac:dyDescent="0.3">
      <c r="C218">
        <v>14633</v>
      </c>
      <c r="D218" t="s">
        <v>36</v>
      </c>
      <c r="E218" t="s">
        <v>38</v>
      </c>
      <c r="F218" s="3">
        <v>60000</v>
      </c>
      <c r="G218">
        <v>1</v>
      </c>
      <c r="H218" t="s">
        <v>19</v>
      </c>
      <c r="I218" t="s">
        <v>14</v>
      </c>
      <c r="J218" t="s">
        <v>15</v>
      </c>
      <c r="K218">
        <v>1</v>
      </c>
      <c r="L218" t="s">
        <v>22</v>
      </c>
      <c r="M218" t="s">
        <v>32</v>
      </c>
      <c r="N218">
        <v>44</v>
      </c>
      <c r="O218" t="str" cm="1">
        <f t="array" ref="O218">_xlfn.IFS(N218&gt;=54,"old",N218&gt;=31,"middle age",N218&gt;=18,"adolsent",N218&lt;18,"invalid")</f>
        <v>middle age</v>
      </c>
      <c r="P218" t="s">
        <v>18</v>
      </c>
    </row>
    <row r="219" spans="3:16" x14ac:dyDescent="0.3">
      <c r="C219">
        <v>14657</v>
      </c>
      <c r="D219" t="s">
        <v>36</v>
      </c>
      <c r="E219" t="s">
        <v>38</v>
      </c>
      <c r="F219" s="3">
        <v>80000</v>
      </c>
      <c r="G219">
        <v>1</v>
      </c>
      <c r="H219" t="s">
        <v>19</v>
      </c>
      <c r="I219" t="s">
        <v>14</v>
      </c>
      <c r="J219" t="s">
        <v>18</v>
      </c>
      <c r="K219">
        <v>1</v>
      </c>
      <c r="L219" t="s">
        <v>16</v>
      </c>
      <c r="M219" t="s">
        <v>32</v>
      </c>
      <c r="N219">
        <v>47</v>
      </c>
      <c r="O219" t="str" cm="1">
        <f t="array" ref="O219">_xlfn.IFS(N219&gt;=54,"old",N219&gt;=31,"middle age",N219&gt;=18,"adolsent",N219&lt;18,"invalid")</f>
        <v>middle age</v>
      </c>
      <c r="P219" t="s">
        <v>15</v>
      </c>
    </row>
    <row r="220" spans="3:16" x14ac:dyDescent="0.3">
      <c r="C220">
        <v>14662</v>
      </c>
      <c r="D220" t="s">
        <v>36</v>
      </c>
      <c r="E220" t="s">
        <v>38</v>
      </c>
      <c r="F220" s="3">
        <v>60000</v>
      </c>
      <c r="G220">
        <v>1</v>
      </c>
      <c r="H220" t="s">
        <v>13</v>
      </c>
      <c r="I220" t="s">
        <v>21</v>
      </c>
      <c r="J220" t="s">
        <v>15</v>
      </c>
      <c r="K220">
        <v>1</v>
      </c>
      <c r="L220" t="s">
        <v>16</v>
      </c>
      <c r="M220" t="s">
        <v>32</v>
      </c>
      <c r="N220">
        <v>48</v>
      </c>
      <c r="O220" t="str" cm="1">
        <f t="array" ref="O220">_xlfn.IFS(N220&gt;=54,"old",N220&gt;=31,"middle age",N220&gt;=18,"adolsent",N220&lt;18,"invalid")</f>
        <v>middle age</v>
      </c>
      <c r="P220" t="s">
        <v>15</v>
      </c>
    </row>
    <row r="221" spans="3:16" x14ac:dyDescent="0.3">
      <c r="C221">
        <v>14669</v>
      </c>
      <c r="D221" t="s">
        <v>36</v>
      </c>
      <c r="E221" t="s">
        <v>39</v>
      </c>
      <c r="F221" s="3">
        <v>80000</v>
      </c>
      <c r="G221">
        <v>4</v>
      </c>
      <c r="H221" t="s">
        <v>31</v>
      </c>
      <c r="I221" t="s">
        <v>28</v>
      </c>
      <c r="J221" t="s">
        <v>15</v>
      </c>
      <c r="K221">
        <v>1</v>
      </c>
      <c r="L221" t="s">
        <v>16</v>
      </c>
      <c r="M221" t="s">
        <v>24</v>
      </c>
      <c r="N221">
        <v>36</v>
      </c>
      <c r="O221" t="str" cm="1">
        <f t="array" ref="O221">_xlfn.IFS(N221&gt;=54,"old",N221&gt;=31,"middle age",N221&gt;=18,"adolsent",N221&lt;18,"invalid")</f>
        <v>middle age</v>
      </c>
      <c r="P221" t="s">
        <v>18</v>
      </c>
    </row>
    <row r="222" spans="3:16" x14ac:dyDescent="0.3">
      <c r="C222">
        <v>14682</v>
      </c>
      <c r="D222" t="s">
        <v>37</v>
      </c>
      <c r="E222" t="s">
        <v>39</v>
      </c>
      <c r="F222" s="3">
        <v>70000</v>
      </c>
      <c r="G222">
        <v>0</v>
      </c>
      <c r="H222" t="s">
        <v>13</v>
      </c>
      <c r="I222" t="s">
        <v>21</v>
      </c>
      <c r="J222" t="s">
        <v>18</v>
      </c>
      <c r="K222">
        <v>1</v>
      </c>
      <c r="L222" t="s">
        <v>23</v>
      </c>
      <c r="M222" t="s">
        <v>24</v>
      </c>
      <c r="N222">
        <v>38</v>
      </c>
      <c r="O222" t="str" cm="1">
        <f t="array" ref="O222">_xlfn.IFS(N222&gt;=54,"old",N222&gt;=31,"middle age",N222&gt;=18,"adolsent",N222&lt;18,"invalid")</f>
        <v>middle age</v>
      </c>
      <c r="P222" t="s">
        <v>18</v>
      </c>
    </row>
    <row r="223" spans="3:16" x14ac:dyDescent="0.3">
      <c r="C223">
        <v>14696</v>
      </c>
      <c r="D223" t="s">
        <v>37</v>
      </c>
      <c r="E223" t="s">
        <v>38</v>
      </c>
      <c r="F223" s="3">
        <v>10000</v>
      </c>
      <c r="G223">
        <v>0</v>
      </c>
      <c r="H223" t="s">
        <v>29</v>
      </c>
      <c r="I223" t="s">
        <v>25</v>
      </c>
      <c r="J223" t="s">
        <v>18</v>
      </c>
      <c r="K223">
        <v>2</v>
      </c>
      <c r="L223" t="s">
        <v>16</v>
      </c>
      <c r="M223" t="s">
        <v>17</v>
      </c>
      <c r="N223">
        <v>34</v>
      </c>
      <c r="O223" t="str" cm="1">
        <f t="array" ref="O223">_xlfn.IFS(N223&gt;=54,"old",N223&gt;=31,"middle age",N223&gt;=18,"adolsent",N223&lt;18,"invalid")</f>
        <v>middle age</v>
      </c>
      <c r="P223" t="s">
        <v>18</v>
      </c>
    </row>
    <row r="224" spans="3:16" x14ac:dyDescent="0.3">
      <c r="C224">
        <v>14754</v>
      </c>
      <c r="D224" t="s">
        <v>36</v>
      </c>
      <c r="E224" t="s">
        <v>38</v>
      </c>
      <c r="F224" s="3">
        <v>40000</v>
      </c>
      <c r="G224">
        <v>1</v>
      </c>
      <c r="H224" t="s">
        <v>19</v>
      </c>
      <c r="I224" t="s">
        <v>20</v>
      </c>
      <c r="J224" t="s">
        <v>15</v>
      </c>
      <c r="K224">
        <v>1</v>
      </c>
      <c r="L224" t="s">
        <v>26</v>
      </c>
      <c r="M224" t="s">
        <v>32</v>
      </c>
      <c r="N224">
        <v>48</v>
      </c>
      <c r="O224" t="str" cm="1">
        <f t="array" ref="O224">_xlfn.IFS(N224&gt;=54,"old",N224&gt;=31,"middle age",N224&gt;=18,"adolsent",N224&lt;18,"invalid")</f>
        <v>middle age</v>
      </c>
      <c r="P224" t="s">
        <v>15</v>
      </c>
    </row>
    <row r="225" spans="3:16" x14ac:dyDescent="0.3">
      <c r="C225">
        <v>14777</v>
      </c>
      <c r="D225" t="s">
        <v>36</v>
      </c>
      <c r="E225" t="s">
        <v>39</v>
      </c>
      <c r="F225" s="3">
        <v>40000</v>
      </c>
      <c r="G225">
        <v>0</v>
      </c>
      <c r="H225" t="s">
        <v>13</v>
      </c>
      <c r="I225" t="s">
        <v>20</v>
      </c>
      <c r="J225" t="s">
        <v>15</v>
      </c>
      <c r="K225">
        <v>0</v>
      </c>
      <c r="L225" t="s">
        <v>16</v>
      </c>
      <c r="M225" t="s">
        <v>17</v>
      </c>
      <c r="N225">
        <v>38</v>
      </c>
      <c r="O225" t="str" cm="1">
        <f t="array" ref="O225">_xlfn.IFS(N225&gt;=54,"old",N225&gt;=31,"middle age",N225&gt;=18,"adolsent",N225&lt;18,"invalid")</f>
        <v>middle age</v>
      </c>
      <c r="P225" t="s">
        <v>15</v>
      </c>
    </row>
    <row r="226" spans="3:16" x14ac:dyDescent="0.3">
      <c r="C226">
        <v>14785</v>
      </c>
      <c r="D226" t="s">
        <v>37</v>
      </c>
      <c r="E226" t="s">
        <v>38</v>
      </c>
      <c r="F226" s="3">
        <v>30000</v>
      </c>
      <c r="G226">
        <v>1</v>
      </c>
      <c r="H226" t="s">
        <v>13</v>
      </c>
      <c r="I226" t="s">
        <v>20</v>
      </c>
      <c r="J226" t="s">
        <v>18</v>
      </c>
      <c r="K226">
        <v>1</v>
      </c>
      <c r="L226" t="s">
        <v>26</v>
      </c>
      <c r="M226" t="s">
        <v>17</v>
      </c>
      <c r="N226">
        <v>39</v>
      </c>
      <c r="O226" t="str" cm="1">
        <f t="array" ref="O226">_xlfn.IFS(N226&gt;=54,"old",N226&gt;=31,"middle age",N226&gt;=18,"adolsent",N226&lt;18,"invalid")</f>
        <v>middle age</v>
      </c>
      <c r="P226" t="s">
        <v>18</v>
      </c>
    </row>
    <row r="227" spans="3:16" x14ac:dyDescent="0.3">
      <c r="C227">
        <v>14791</v>
      </c>
      <c r="D227" t="s">
        <v>36</v>
      </c>
      <c r="E227" t="s">
        <v>39</v>
      </c>
      <c r="F227" s="3">
        <v>40000</v>
      </c>
      <c r="G227">
        <v>0</v>
      </c>
      <c r="H227" t="s">
        <v>13</v>
      </c>
      <c r="I227" t="s">
        <v>20</v>
      </c>
      <c r="J227" t="s">
        <v>15</v>
      </c>
      <c r="K227">
        <v>0</v>
      </c>
      <c r="L227" t="s">
        <v>16</v>
      </c>
      <c r="M227" t="s">
        <v>17</v>
      </c>
      <c r="N227">
        <v>39</v>
      </c>
      <c r="O227" t="str" cm="1">
        <f t="array" ref="O227">_xlfn.IFS(N227&gt;=54,"old",N227&gt;=31,"middle age",N227&gt;=18,"adolsent",N227&lt;18,"invalid")</f>
        <v>middle age</v>
      </c>
      <c r="P227" t="s">
        <v>15</v>
      </c>
    </row>
    <row r="228" spans="3:16" x14ac:dyDescent="0.3">
      <c r="C228">
        <v>14798</v>
      </c>
      <c r="D228" t="s">
        <v>37</v>
      </c>
      <c r="E228" t="s">
        <v>39</v>
      </c>
      <c r="F228" s="3">
        <v>10000</v>
      </c>
      <c r="G228">
        <v>4</v>
      </c>
      <c r="H228" t="s">
        <v>29</v>
      </c>
      <c r="I228" t="s">
        <v>25</v>
      </c>
      <c r="J228" t="s">
        <v>15</v>
      </c>
      <c r="K228">
        <v>2</v>
      </c>
      <c r="L228" t="s">
        <v>16</v>
      </c>
      <c r="M228" t="s">
        <v>17</v>
      </c>
      <c r="N228">
        <v>41</v>
      </c>
      <c r="O228" t="str" cm="1">
        <f t="array" ref="O228">_xlfn.IFS(N228&gt;=54,"old",N228&gt;=31,"middle age",N228&gt;=18,"adolsent",N228&lt;18,"invalid")</f>
        <v>middle age</v>
      </c>
      <c r="P228" t="s">
        <v>15</v>
      </c>
    </row>
    <row r="229" spans="3:16" x14ac:dyDescent="0.3">
      <c r="C229">
        <v>14804</v>
      </c>
      <c r="D229" t="s">
        <v>37</v>
      </c>
      <c r="E229" t="s">
        <v>39</v>
      </c>
      <c r="F229" s="3">
        <v>10000</v>
      </c>
      <c r="G229">
        <v>3</v>
      </c>
      <c r="H229" t="s">
        <v>29</v>
      </c>
      <c r="I229" t="s">
        <v>25</v>
      </c>
      <c r="J229" t="s">
        <v>15</v>
      </c>
      <c r="K229">
        <v>2</v>
      </c>
      <c r="L229" t="s">
        <v>16</v>
      </c>
      <c r="M229" t="s">
        <v>17</v>
      </c>
      <c r="N229">
        <v>43</v>
      </c>
      <c r="O229" t="str" cm="1">
        <f t="array" ref="O229">_xlfn.IFS(N229&gt;=54,"old",N229&gt;=31,"middle age",N229&gt;=18,"adolsent",N229&lt;18,"invalid")</f>
        <v>middle age</v>
      </c>
      <c r="P229" t="s">
        <v>18</v>
      </c>
    </row>
    <row r="230" spans="3:16" x14ac:dyDescent="0.3">
      <c r="C230">
        <v>14805</v>
      </c>
      <c r="D230" t="s">
        <v>37</v>
      </c>
      <c r="E230" t="s">
        <v>39</v>
      </c>
      <c r="F230" s="3">
        <v>10000</v>
      </c>
      <c r="G230">
        <v>3</v>
      </c>
      <c r="H230" t="s">
        <v>29</v>
      </c>
      <c r="I230" t="s">
        <v>25</v>
      </c>
      <c r="J230" t="s">
        <v>15</v>
      </c>
      <c r="K230">
        <v>2</v>
      </c>
      <c r="L230" t="s">
        <v>16</v>
      </c>
      <c r="M230" t="s">
        <v>17</v>
      </c>
      <c r="N230">
        <v>43</v>
      </c>
      <c r="O230" t="str" cm="1">
        <f t="array" ref="O230">_xlfn.IFS(N230&gt;=54,"old",N230&gt;=31,"middle age",N230&gt;=18,"adolsent",N230&lt;18,"invalid")</f>
        <v>middle age</v>
      </c>
      <c r="P230" t="s">
        <v>18</v>
      </c>
    </row>
    <row r="231" spans="3:16" x14ac:dyDescent="0.3">
      <c r="C231">
        <v>14813</v>
      </c>
      <c r="D231" t="s">
        <v>37</v>
      </c>
      <c r="E231" t="s">
        <v>39</v>
      </c>
      <c r="F231" s="3">
        <v>20000</v>
      </c>
      <c r="G231">
        <v>4</v>
      </c>
      <c r="H231" t="s">
        <v>27</v>
      </c>
      <c r="I231" t="s">
        <v>25</v>
      </c>
      <c r="J231" t="s">
        <v>15</v>
      </c>
      <c r="K231">
        <v>1</v>
      </c>
      <c r="L231" t="s">
        <v>16</v>
      </c>
      <c r="M231" t="s">
        <v>17</v>
      </c>
      <c r="N231">
        <v>43</v>
      </c>
      <c r="O231" t="str" cm="1">
        <f t="array" ref="O231">_xlfn.IFS(N231&gt;=54,"old",N231&gt;=31,"middle age",N231&gt;=18,"adolsent",N231&lt;18,"invalid")</f>
        <v>middle age</v>
      </c>
      <c r="P231" t="s">
        <v>15</v>
      </c>
    </row>
    <row r="232" spans="3:16" x14ac:dyDescent="0.3">
      <c r="C232">
        <v>14832</v>
      </c>
      <c r="D232" t="s">
        <v>36</v>
      </c>
      <c r="E232" t="s">
        <v>38</v>
      </c>
      <c r="F232" s="3">
        <v>40000</v>
      </c>
      <c r="G232">
        <v>1</v>
      </c>
      <c r="H232" t="s">
        <v>13</v>
      </c>
      <c r="I232" t="s">
        <v>14</v>
      </c>
      <c r="J232" t="s">
        <v>15</v>
      </c>
      <c r="K232">
        <v>0</v>
      </c>
      <c r="L232" t="s">
        <v>16</v>
      </c>
      <c r="M232" t="s">
        <v>17</v>
      </c>
      <c r="N232">
        <v>42</v>
      </c>
      <c r="O232" t="str" cm="1">
        <f t="array" ref="O232">_xlfn.IFS(N232&gt;=54,"old",N232&gt;=31,"middle age",N232&gt;=18,"adolsent",N232&lt;18,"invalid")</f>
        <v>middle age</v>
      </c>
      <c r="P232" t="s">
        <v>15</v>
      </c>
    </row>
    <row r="233" spans="3:16" x14ac:dyDescent="0.3">
      <c r="C233">
        <v>14865</v>
      </c>
      <c r="D233" t="s">
        <v>37</v>
      </c>
      <c r="E233" t="s">
        <v>38</v>
      </c>
      <c r="F233" s="3">
        <v>40000</v>
      </c>
      <c r="G233">
        <v>2</v>
      </c>
      <c r="H233" t="s">
        <v>19</v>
      </c>
      <c r="I233" t="s">
        <v>20</v>
      </c>
      <c r="J233" t="s">
        <v>15</v>
      </c>
      <c r="K233">
        <v>2</v>
      </c>
      <c r="L233" t="s">
        <v>26</v>
      </c>
      <c r="M233" t="s">
        <v>17</v>
      </c>
      <c r="N233">
        <v>36</v>
      </c>
      <c r="O233" t="str" cm="1">
        <f t="array" ref="O233">_xlfn.IFS(N233&gt;=54,"old",N233&gt;=31,"middle age",N233&gt;=18,"adolsent",N233&lt;18,"invalid")</f>
        <v>middle age</v>
      </c>
      <c r="P233" t="s">
        <v>18</v>
      </c>
    </row>
    <row r="234" spans="3:16" x14ac:dyDescent="0.3">
      <c r="C234">
        <v>14872</v>
      </c>
      <c r="D234" t="s">
        <v>36</v>
      </c>
      <c r="E234" t="s">
        <v>38</v>
      </c>
      <c r="F234" s="3">
        <v>30000</v>
      </c>
      <c r="G234">
        <v>0</v>
      </c>
      <c r="H234" t="s">
        <v>31</v>
      </c>
      <c r="I234" t="s">
        <v>14</v>
      </c>
      <c r="J234" t="s">
        <v>15</v>
      </c>
      <c r="K234">
        <v>0</v>
      </c>
      <c r="L234" t="s">
        <v>16</v>
      </c>
      <c r="M234" t="s">
        <v>32</v>
      </c>
      <c r="N234">
        <v>32</v>
      </c>
      <c r="O234" t="str" cm="1">
        <f t="array" ref="O234">_xlfn.IFS(N234&gt;=54,"old",N234&gt;=31,"middle age",N234&gt;=18,"adolsent",N234&lt;18,"invalid")</f>
        <v>middle age</v>
      </c>
      <c r="P234" t="s">
        <v>18</v>
      </c>
    </row>
    <row r="235" spans="3:16" x14ac:dyDescent="0.3">
      <c r="C235">
        <v>14883</v>
      </c>
      <c r="D235" t="s">
        <v>36</v>
      </c>
      <c r="E235" t="s">
        <v>39</v>
      </c>
      <c r="F235" s="3">
        <v>30000</v>
      </c>
      <c r="G235">
        <v>1</v>
      </c>
      <c r="H235" t="s">
        <v>13</v>
      </c>
      <c r="I235" t="s">
        <v>14</v>
      </c>
      <c r="J235" t="s">
        <v>15</v>
      </c>
      <c r="K235">
        <v>1</v>
      </c>
      <c r="L235" t="s">
        <v>23</v>
      </c>
      <c r="M235" t="s">
        <v>32</v>
      </c>
      <c r="N235">
        <v>53</v>
      </c>
      <c r="O235" t="str" cm="1">
        <f t="array" ref="O235">_xlfn.IFS(N235&gt;=54,"old",N235&gt;=31,"middle age",N235&gt;=18,"adolsent",N235&lt;18,"invalid")</f>
        <v>middle age</v>
      </c>
      <c r="P235" t="s">
        <v>15</v>
      </c>
    </row>
    <row r="236" spans="3:16" x14ac:dyDescent="0.3">
      <c r="C236">
        <v>14887</v>
      </c>
      <c r="D236" t="s">
        <v>36</v>
      </c>
      <c r="E236" t="s">
        <v>39</v>
      </c>
      <c r="F236" s="3">
        <v>30000</v>
      </c>
      <c r="G236">
        <v>1</v>
      </c>
      <c r="H236" t="s">
        <v>27</v>
      </c>
      <c r="I236" t="s">
        <v>20</v>
      </c>
      <c r="J236" t="s">
        <v>15</v>
      </c>
      <c r="K236">
        <v>1</v>
      </c>
      <c r="L236" t="s">
        <v>23</v>
      </c>
      <c r="M236" t="s">
        <v>32</v>
      </c>
      <c r="N236">
        <v>52</v>
      </c>
      <c r="O236" t="str" cm="1">
        <f t="array" ref="O236">_xlfn.IFS(N236&gt;=54,"old",N236&gt;=31,"middle age",N236&gt;=18,"adolsent",N236&lt;18,"invalid")</f>
        <v>middle age</v>
      </c>
      <c r="P236" t="s">
        <v>18</v>
      </c>
    </row>
    <row r="237" spans="3:16" x14ac:dyDescent="0.3">
      <c r="C237">
        <v>14900</v>
      </c>
      <c r="D237" t="s">
        <v>36</v>
      </c>
      <c r="E237" t="s">
        <v>39</v>
      </c>
      <c r="F237" s="3">
        <v>40000</v>
      </c>
      <c r="G237">
        <v>1</v>
      </c>
      <c r="H237" t="s">
        <v>19</v>
      </c>
      <c r="I237" t="s">
        <v>20</v>
      </c>
      <c r="J237" t="s">
        <v>15</v>
      </c>
      <c r="K237">
        <v>1</v>
      </c>
      <c r="L237" t="s">
        <v>26</v>
      </c>
      <c r="M237" t="s">
        <v>32</v>
      </c>
      <c r="N237">
        <v>49</v>
      </c>
      <c r="O237" t="str" cm="1">
        <f t="array" ref="O237">_xlfn.IFS(N237&gt;=54,"old",N237&gt;=31,"middle age",N237&gt;=18,"adolsent",N237&lt;18,"invalid")</f>
        <v>middle age</v>
      </c>
      <c r="P237" t="s">
        <v>15</v>
      </c>
    </row>
    <row r="238" spans="3:16" x14ac:dyDescent="0.3">
      <c r="C238">
        <v>14913</v>
      </c>
      <c r="D238" t="s">
        <v>36</v>
      </c>
      <c r="E238" t="s">
        <v>39</v>
      </c>
      <c r="F238" s="3">
        <v>40000</v>
      </c>
      <c r="G238">
        <v>1</v>
      </c>
      <c r="H238" t="s">
        <v>19</v>
      </c>
      <c r="I238" t="s">
        <v>20</v>
      </c>
      <c r="J238" t="s">
        <v>15</v>
      </c>
      <c r="K238">
        <v>1</v>
      </c>
      <c r="L238" t="s">
        <v>26</v>
      </c>
      <c r="M238" t="s">
        <v>32</v>
      </c>
      <c r="N238">
        <v>48</v>
      </c>
      <c r="O238" t="str" cm="1">
        <f t="array" ref="O238">_xlfn.IFS(N238&gt;=54,"old",N238&gt;=31,"middle age",N238&gt;=18,"adolsent",N238&lt;18,"invalid")</f>
        <v>middle age</v>
      </c>
      <c r="P238" t="s">
        <v>15</v>
      </c>
    </row>
    <row r="239" spans="3:16" x14ac:dyDescent="0.3">
      <c r="C239">
        <v>14914</v>
      </c>
      <c r="D239" t="s">
        <v>36</v>
      </c>
      <c r="E239" t="s">
        <v>39</v>
      </c>
      <c r="F239" s="3">
        <v>40000</v>
      </c>
      <c r="G239">
        <v>1</v>
      </c>
      <c r="H239" t="s">
        <v>19</v>
      </c>
      <c r="I239" t="s">
        <v>20</v>
      </c>
      <c r="J239" t="s">
        <v>15</v>
      </c>
      <c r="K239">
        <v>1</v>
      </c>
      <c r="L239" t="s">
        <v>26</v>
      </c>
      <c r="M239" t="s">
        <v>32</v>
      </c>
      <c r="N239">
        <v>49</v>
      </c>
      <c r="O239" t="str" cm="1">
        <f t="array" ref="O239">_xlfn.IFS(N239&gt;=54,"old",N239&gt;=31,"middle age",N239&gt;=18,"adolsent",N239&lt;18,"invalid")</f>
        <v>middle age</v>
      </c>
      <c r="P239" t="s">
        <v>15</v>
      </c>
    </row>
    <row r="240" spans="3:16" x14ac:dyDescent="0.3">
      <c r="C240">
        <v>14926</v>
      </c>
      <c r="D240" t="s">
        <v>36</v>
      </c>
      <c r="E240" t="s">
        <v>38</v>
      </c>
      <c r="F240" s="3">
        <v>30000</v>
      </c>
      <c r="G240">
        <v>1</v>
      </c>
      <c r="H240" t="s">
        <v>13</v>
      </c>
      <c r="I240" t="s">
        <v>20</v>
      </c>
      <c r="J240" t="s">
        <v>15</v>
      </c>
      <c r="K240">
        <v>0</v>
      </c>
      <c r="L240" t="s">
        <v>16</v>
      </c>
      <c r="M240" t="s">
        <v>17</v>
      </c>
      <c r="N240">
        <v>38</v>
      </c>
      <c r="O240" t="str" cm="1">
        <f t="array" ref="O240">_xlfn.IFS(N240&gt;=54,"old",N240&gt;=31,"middle age",N240&gt;=18,"adolsent",N240&lt;18,"invalid")</f>
        <v>middle age</v>
      </c>
      <c r="P240" t="s">
        <v>15</v>
      </c>
    </row>
    <row r="241" spans="3:16" x14ac:dyDescent="0.3">
      <c r="C241">
        <v>14927</v>
      </c>
      <c r="D241" t="s">
        <v>36</v>
      </c>
      <c r="E241" t="s">
        <v>39</v>
      </c>
      <c r="F241" s="3">
        <v>30000</v>
      </c>
      <c r="G241">
        <v>1</v>
      </c>
      <c r="H241" t="s">
        <v>13</v>
      </c>
      <c r="I241" t="s">
        <v>20</v>
      </c>
      <c r="J241" t="s">
        <v>15</v>
      </c>
      <c r="K241">
        <v>0</v>
      </c>
      <c r="L241" t="s">
        <v>16</v>
      </c>
      <c r="M241" t="s">
        <v>17</v>
      </c>
      <c r="N241">
        <v>37</v>
      </c>
      <c r="O241" t="str" cm="1">
        <f t="array" ref="O241">_xlfn.IFS(N241&gt;=54,"old",N241&gt;=31,"middle age",N241&gt;=18,"adolsent",N241&lt;18,"invalid")</f>
        <v>middle age</v>
      </c>
      <c r="P241" t="s">
        <v>15</v>
      </c>
    </row>
    <row r="242" spans="3:16" x14ac:dyDescent="0.3">
      <c r="C242">
        <v>14939</v>
      </c>
      <c r="D242" t="s">
        <v>37</v>
      </c>
      <c r="E242" t="s">
        <v>38</v>
      </c>
      <c r="F242" s="3">
        <v>40000</v>
      </c>
      <c r="G242">
        <v>0</v>
      </c>
      <c r="H242" t="s">
        <v>13</v>
      </c>
      <c r="I242" t="s">
        <v>20</v>
      </c>
      <c r="J242" t="s">
        <v>15</v>
      </c>
      <c r="K242">
        <v>0</v>
      </c>
      <c r="L242" t="s">
        <v>16</v>
      </c>
      <c r="M242" t="s">
        <v>17</v>
      </c>
      <c r="N242">
        <v>39</v>
      </c>
      <c r="O242" t="str" cm="1">
        <f t="array" ref="O242">_xlfn.IFS(N242&gt;=54,"old",N242&gt;=31,"middle age",N242&gt;=18,"adolsent",N242&lt;18,"invalid")</f>
        <v>middle age</v>
      </c>
      <c r="P242" t="s">
        <v>15</v>
      </c>
    </row>
    <row r="243" spans="3:16" x14ac:dyDescent="0.3">
      <c r="C243">
        <v>15019</v>
      </c>
      <c r="D243" t="s">
        <v>37</v>
      </c>
      <c r="E243" t="s">
        <v>39</v>
      </c>
      <c r="F243" s="3">
        <v>30000</v>
      </c>
      <c r="G243">
        <v>3</v>
      </c>
      <c r="H243" t="s">
        <v>27</v>
      </c>
      <c r="I243" t="s">
        <v>14</v>
      </c>
      <c r="J243" t="s">
        <v>15</v>
      </c>
      <c r="K243">
        <v>2</v>
      </c>
      <c r="L243" t="s">
        <v>23</v>
      </c>
      <c r="M243" t="s">
        <v>24</v>
      </c>
      <c r="N243">
        <v>55</v>
      </c>
      <c r="O243" t="str" cm="1">
        <f t="array" ref="O243">_xlfn.IFS(N243&gt;=54,"old",N243&gt;=31,"middle age",N243&gt;=18,"adolsent",N243&lt;18,"invalid")</f>
        <v>old</v>
      </c>
      <c r="P243" t="s">
        <v>18</v>
      </c>
    </row>
    <row r="244" spans="3:16" x14ac:dyDescent="0.3">
      <c r="C244">
        <v>15030</v>
      </c>
      <c r="D244" t="s">
        <v>36</v>
      </c>
      <c r="E244" t="s">
        <v>38</v>
      </c>
      <c r="F244" s="3">
        <v>20000</v>
      </c>
      <c r="G244">
        <v>0</v>
      </c>
      <c r="H244" t="s">
        <v>13</v>
      </c>
      <c r="I244" t="s">
        <v>20</v>
      </c>
      <c r="J244" t="s">
        <v>15</v>
      </c>
      <c r="K244">
        <v>0</v>
      </c>
      <c r="L244" t="s">
        <v>16</v>
      </c>
      <c r="M244" t="s">
        <v>24</v>
      </c>
      <c r="N244">
        <v>26</v>
      </c>
      <c r="O244" t="str" cm="1">
        <f t="array" ref="O244">_xlfn.IFS(N244&gt;=54,"old",N244&gt;=31,"middle age",N244&gt;=18,"adolsent",N244&lt;18,"invalid")</f>
        <v>adolsent</v>
      </c>
      <c r="P244" t="s">
        <v>15</v>
      </c>
    </row>
    <row r="245" spans="3:16" x14ac:dyDescent="0.3">
      <c r="C245">
        <v>15194</v>
      </c>
      <c r="D245" t="s">
        <v>37</v>
      </c>
      <c r="E245" t="s">
        <v>38</v>
      </c>
      <c r="F245" s="3">
        <v>120000</v>
      </c>
      <c r="G245">
        <v>2</v>
      </c>
      <c r="H245" t="s">
        <v>13</v>
      </c>
      <c r="I245" t="s">
        <v>28</v>
      </c>
      <c r="J245" t="s">
        <v>18</v>
      </c>
      <c r="K245">
        <v>3</v>
      </c>
      <c r="L245" t="s">
        <v>16</v>
      </c>
      <c r="M245" t="s">
        <v>32</v>
      </c>
      <c r="N245">
        <v>39</v>
      </c>
      <c r="O245" t="str" cm="1">
        <f t="array" ref="O245">_xlfn.IFS(N245&gt;=54,"old",N245&gt;=31,"middle age",N245&gt;=18,"adolsent",N245&lt;18,"invalid")</f>
        <v>middle age</v>
      </c>
      <c r="P245" t="s">
        <v>15</v>
      </c>
    </row>
    <row r="246" spans="3:16" x14ac:dyDescent="0.3">
      <c r="C246">
        <v>15214</v>
      </c>
      <c r="D246" t="s">
        <v>37</v>
      </c>
      <c r="E246" t="s">
        <v>39</v>
      </c>
      <c r="F246" s="3">
        <v>100000</v>
      </c>
      <c r="G246">
        <v>0</v>
      </c>
      <c r="H246" t="s">
        <v>31</v>
      </c>
      <c r="I246" t="s">
        <v>28</v>
      </c>
      <c r="J246" t="s">
        <v>18</v>
      </c>
      <c r="K246">
        <v>1</v>
      </c>
      <c r="L246" t="s">
        <v>26</v>
      </c>
      <c r="M246" t="s">
        <v>24</v>
      </c>
      <c r="N246">
        <v>39</v>
      </c>
      <c r="O246" t="str" cm="1">
        <f t="array" ref="O246">_xlfn.IFS(N246&gt;=54,"old",N246&gt;=31,"middle age",N246&gt;=18,"adolsent",N246&lt;18,"invalid")</f>
        <v>middle age</v>
      </c>
      <c r="P246" t="s">
        <v>15</v>
      </c>
    </row>
    <row r="247" spans="3:16" x14ac:dyDescent="0.3">
      <c r="C247">
        <v>15255</v>
      </c>
      <c r="D247" t="s">
        <v>36</v>
      </c>
      <c r="E247" t="s">
        <v>38</v>
      </c>
      <c r="F247" s="3">
        <v>40000</v>
      </c>
      <c r="G247">
        <v>0</v>
      </c>
      <c r="H247" t="s">
        <v>27</v>
      </c>
      <c r="I247" t="s">
        <v>14</v>
      </c>
      <c r="J247" t="s">
        <v>15</v>
      </c>
      <c r="K247">
        <v>2</v>
      </c>
      <c r="L247" t="s">
        <v>23</v>
      </c>
      <c r="M247" t="s">
        <v>32</v>
      </c>
      <c r="N247">
        <v>28</v>
      </c>
      <c r="O247" t="str" cm="1">
        <f t="array" ref="O247">_xlfn.IFS(N247&gt;=54,"old",N247&gt;=31,"middle age",N247&gt;=18,"adolsent",N247&lt;18,"invalid")</f>
        <v>adolsent</v>
      </c>
      <c r="P247" t="s">
        <v>15</v>
      </c>
    </row>
    <row r="248" spans="3:16" x14ac:dyDescent="0.3">
      <c r="C248">
        <v>15265</v>
      </c>
      <c r="D248" t="s">
        <v>37</v>
      </c>
      <c r="E248" t="s">
        <v>38</v>
      </c>
      <c r="F248" s="3">
        <v>40000</v>
      </c>
      <c r="G248">
        <v>2</v>
      </c>
      <c r="H248" t="s">
        <v>13</v>
      </c>
      <c r="I248" t="s">
        <v>28</v>
      </c>
      <c r="J248" t="s">
        <v>15</v>
      </c>
      <c r="K248">
        <v>2</v>
      </c>
      <c r="L248" t="s">
        <v>23</v>
      </c>
      <c r="M248" t="s">
        <v>24</v>
      </c>
      <c r="N248">
        <v>66</v>
      </c>
      <c r="O248" t="str" cm="1">
        <f t="array" ref="O248">_xlfn.IFS(N248&gt;=54,"old",N248&gt;=31,"middle age",N248&gt;=18,"adolsent",N248&lt;18,"invalid")</f>
        <v>old</v>
      </c>
      <c r="P248" t="s">
        <v>15</v>
      </c>
    </row>
    <row r="249" spans="3:16" x14ac:dyDescent="0.3">
      <c r="C249">
        <v>15272</v>
      </c>
      <c r="D249" t="s">
        <v>37</v>
      </c>
      <c r="E249" t="s">
        <v>38</v>
      </c>
      <c r="F249" s="3">
        <v>40000</v>
      </c>
      <c r="G249">
        <v>0</v>
      </c>
      <c r="H249" t="s">
        <v>27</v>
      </c>
      <c r="I249" t="s">
        <v>14</v>
      </c>
      <c r="J249" t="s">
        <v>18</v>
      </c>
      <c r="K249">
        <v>2</v>
      </c>
      <c r="L249" t="s">
        <v>26</v>
      </c>
      <c r="M249" t="s">
        <v>32</v>
      </c>
      <c r="N249">
        <v>30</v>
      </c>
      <c r="O249" t="str" cm="1">
        <f t="array" ref="O249">_xlfn.IFS(N249&gt;=54,"old",N249&gt;=31,"middle age",N249&gt;=18,"adolsent",N249&lt;18,"invalid")</f>
        <v>adolsent</v>
      </c>
      <c r="P249" t="s">
        <v>18</v>
      </c>
    </row>
    <row r="250" spans="3:16" x14ac:dyDescent="0.3">
      <c r="C250">
        <v>15275</v>
      </c>
      <c r="D250" t="s">
        <v>36</v>
      </c>
      <c r="E250" t="s">
        <v>38</v>
      </c>
      <c r="F250" s="3">
        <v>40000</v>
      </c>
      <c r="G250">
        <v>0</v>
      </c>
      <c r="H250" t="s">
        <v>19</v>
      </c>
      <c r="I250" t="s">
        <v>14</v>
      </c>
      <c r="J250" t="s">
        <v>15</v>
      </c>
      <c r="K250">
        <v>1</v>
      </c>
      <c r="L250" t="s">
        <v>23</v>
      </c>
      <c r="M250" t="s">
        <v>32</v>
      </c>
      <c r="N250">
        <v>29</v>
      </c>
      <c r="O250" t="str" cm="1">
        <f t="array" ref="O250">_xlfn.IFS(N250&gt;=54,"old",N250&gt;=31,"middle age",N250&gt;=18,"adolsent",N250&lt;18,"invalid")</f>
        <v>adolsent</v>
      </c>
      <c r="P250" t="s">
        <v>18</v>
      </c>
    </row>
    <row r="251" spans="3:16" x14ac:dyDescent="0.3">
      <c r="C251">
        <v>15287</v>
      </c>
      <c r="D251" t="s">
        <v>37</v>
      </c>
      <c r="E251" t="s">
        <v>39</v>
      </c>
      <c r="F251" s="3">
        <v>50000</v>
      </c>
      <c r="G251">
        <v>1</v>
      </c>
      <c r="H251" t="s">
        <v>31</v>
      </c>
      <c r="I251" t="s">
        <v>14</v>
      </c>
      <c r="J251" t="s">
        <v>15</v>
      </c>
      <c r="K251">
        <v>0</v>
      </c>
      <c r="L251" t="s">
        <v>26</v>
      </c>
      <c r="M251" t="s">
        <v>32</v>
      </c>
      <c r="N251">
        <v>33</v>
      </c>
      <c r="O251" t="str" cm="1">
        <f t="array" ref="O251">_xlfn.IFS(N251&gt;=54,"old",N251&gt;=31,"middle age",N251&gt;=18,"adolsent",N251&lt;18,"invalid")</f>
        <v>middle age</v>
      </c>
      <c r="P251" t="s">
        <v>15</v>
      </c>
    </row>
    <row r="252" spans="3:16" x14ac:dyDescent="0.3">
      <c r="C252">
        <v>15292</v>
      </c>
      <c r="D252" t="s">
        <v>37</v>
      </c>
      <c r="E252" t="s">
        <v>39</v>
      </c>
      <c r="F252" s="3">
        <v>60000</v>
      </c>
      <c r="G252">
        <v>1</v>
      </c>
      <c r="H252" t="s">
        <v>31</v>
      </c>
      <c r="I252" t="s">
        <v>14</v>
      </c>
      <c r="J252" t="s">
        <v>15</v>
      </c>
      <c r="K252">
        <v>0</v>
      </c>
      <c r="L252" t="s">
        <v>26</v>
      </c>
      <c r="M252" t="s">
        <v>32</v>
      </c>
      <c r="N252">
        <v>35</v>
      </c>
      <c r="O252" t="str" cm="1">
        <f t="array" ref="O252">_xlfn.IFS(N252&gt;=54,"old",N252&gt;=31,"middle age",N252&gt;=18,"adolsent",N252&lt;18,"invalid")</f>
        <v>middle age</v>
      </c>
      <c r="P252" t="s">
        <v>18</v>
      </c>
    </row>
    <row r="253" spans="3:16" x14ac:dyDescent="0.3">
      <c r="C253">
        <v>15302</v>
      </c>
      <c r="D253" t="s">
        <v>37</v>
      </c>
      <c r="E253" t="s">
        <v>39</v>
      </c>
      <c r="F253" s="3">
        <v>70000</v>
      </c>
      <c r="G253">
        <v>1</v>
      </c>
      <c r="H253" t="s">
        <v>31</v>
      </c>
      <c r="I253" t="s">
        <v>21</v>
      </c>
      <c r="J253" t="s">
        <v>15</v>
      </c>
      <c r="K253">
        <v>0</v>
      </c>
      <c r="L253" t="s">
        <v>22</v>
      </c>
      <c r="M253" t="s">
        <v>32</v>
      </c>
      <c r="N253">
        <v>34</v>
      </c>
      <c r="O253" t="str" cm="1">
        <f t="array" ref="O253">_xlfn.IFS(N253&gt;=54,"old",N253&gt;=31,"middle age",N253&gt;=18,"adolsent",N253&lt;18,"invalid")</f>
        <v>middle age</v>
      </c>
      <c r="P253" t="s">
        <v>15</v>
      </c>
    </row>
    <row r="254" spans="3:16" x14ac:dyDescent="0.3">
      <c r="C254">
        <v>15313</v>
      </c>
      <c r="D254" t="s">
        <v>36</v>
      </c>
      <c r="E254" t="s">
        <v>38</v>
      </c>
      <c r="F254" s="3">
        <v>60000</v>
      </c>
      <c r="G254">
        <v>4</v>
      </c>
      <c r="H254" t="s">
        <v>13</v>
      </c>
      <c r="I254" t="s">
        <v>28</v>
      </c>
      <c r="J254" t="s">
        <v>15</v>
      </c>
      <c r="K254">
        <v>2</v>
      </c>
      <c r="L254" t="s">
        <v>22</v>
      </c>
      <c r="M254" t="s">
        <v>32</v>
      </c>
      <c r="N254">
        <v>59</v>
      </c>
      <c r="O254" t="str" cm="1">
        <f t="array" ref="O254">_xlfn.IFS(N254&gt;=54,"old",N254&gt;=31,"middle age",N254&gt;=18,"adolsent",N254&lt;18,"invalid")</f>
        <v>old</v>
      </c>
      <c r="P254" t="s">
        <v>18</v>
      </c>
    </row>
    <row r="255" spans="3:16" x14ac:dyDescent="0.3">
      <c r="C255">
        <v>15319</v>
      </c>
      <c r="D255" t="s">
        <v>36</v>
      </c>
      <c r="E255" t="s">
        <v>39</v>
      </c>
      <c r="F255" s="3">
        <v>70000</v>
      </c>
      <c r="G255">
        <v>4</v>
      </c>
      <c r="H255" t="s">
        <v>13</v>
      </c>
      <c r="I255" t="s">
        <v>28</v>
      </c>
      <c r="J255" t="s">
        <v>18</v>
      </c>
      <c r="K255">
        <v>1</v>
      </c>
      <c r="L255" t="s">
        <v>26</v>
      </c>
      <c r="M255" t="s">
        <v>32</v>
      </c>
      <c r="N255">
        <v>59</v>
      </c>
      <c r="O255" t="str" cm="1">
        <f t="array" ref="O255">_xlfn.IFS(N255&gt;=54,"old",N255&gt;=31,"middle age",N255&gt;=18,"adolsent",N255&lt;18,"invalid")</f>
        <v>old</v>
      </c>
      <c r="P255" t="s">
        <v>18</v>
      </c>
    </row>
    <row r="256" spans="3:16" x14ac:dyDescent="0.3">
      <c r="C256">
        <v>15372</v>
      </c>
      <c r="D256" t="s">
        <v>36</v>
      </c>
      <c r="E256" t="s">
        <v>38</v>
      </c>
      <c r="F256" s="3">
        <v>80000</v>
      </c>
      <c r="G256">
        <v>3</v>
      </c>
      <c r="H256" t="s">
        <v>19</v>
      </c>
      <c r="I256" t="s">
        <v>21</v>
      </c>
      <c r="J256" t="s">
        <v>18</v>
      </c>
      <c r="K256">
        <v>2</v>
      </c>
      <c r="L256" t="s">
        <v>22</v>
      </c>
      <c r="M256" t="s">
        <v>32</v>
      </c>
      <c r="N256">
        <v>50</v>
      </c>
      <c r="O256" t="str" cm="1">
        <f t="array" ref="O256">_xlfn.IFS(N256&gt;=54,"old",N256&gt;=31,"middle age",N256&gt;=18,"adolsent",N256&lt;18,"invalid")</f>
        <v>middle age</v>
      </c>
      <c r="P256" t="s">
        <v>15</v>
      </c>
    </row>
    <row r="257" spans="3:16" x14ac:dyDescent="0.3">
      <c r="C257">
        <v>15382</v>
      </c>
      <c r="D257" t="s">
        <v>36</v>
      </c>
      <c r="E257" t="s">
        <v>39</v>
      </c>
      <c r="F257" s="3">
        <v>110000</v>
      </c>
      <c r="G257">
        <v>1</v>
      </c>
      <c r="H257" t="s">
        <v>13</v>
      </c>
      <c r="I257" t="s">
        <v>28</v>
      </c>
      <c r="J257" t="s">
        <v>15</v>
      </c>
      <c r="K257">
        <v>2</v>
      </c>
      <c r="L257" t="s">
        <v>26</v>
      </c>
      <c r="M257" t="s">
        <v>32</v>
      </c>
      <c r="N257">
        <v>44</v>
      </c>
      <c r="O257" t="str" cm="1">
        <f t="array" ref="O257">_xlfn.IFS(N257&gt;=54,"old",N257&gt;=31,"middle age",N257&gt;=18,"adolsent",N257&lt;18,"invalid")</f>
        <v>middle age</v>
      </c>
      <c r="P257" t="s">
        <v>18</v>
      </c>
    </row>
    <row r="258" spans="3:16" x14ac:dyDescent="0.3">
      <c r="C258">
        <v>15412</v>
      </c>
      <c r="D258" t="s">
        <v>36</v>
      </c>
      <c r="E258" t="s">
        <v>38</v>
      </c>
      <c r="F258" s="3">
        <v>130000</v>
      </c>
      <c r="G258">
        <v>2</v>
      </c>
      <c r="H258" t="s">
        <v>31</v>
      </c>
      <c r="I258" t="s">
        <v>28</v>
      </c>
      <c r="J258" t="s">
        <v>15</v>
      </c>
      <c r="K258">
        <v>3</v>
      </c>
      <c r="L258" t="s">
        <v>22</v>
      </c>
      <c r="M258" t="s">
        <v>32</v>
      </c>
      <c r="N258">
        <v>69</v>
      </c>
      <c r="O258" t="str" cm="1">
        <f t="array" ref="O258">_xlfn.IFS(N258&gt;=54,"old",N258&gt;=31,"middle age",N258&gt;=18,"adolsent",N258&lt;18,"invalid")</f>
        <v>old</v>
      </c>
      <c r="P258" t="s">
        <v>18</v>
      </c>
    </row>
    <row r="259" spans="3:16" x14ac:dyDescent="0.3">
      <c r="C259">
        <v>15450</v>
      </c>
      <c r="D259" t="s">
        <v>36</v>
      </c>
      <c r="E259" t="s">
        <v>38</v>
      </c>
      <c r="F259" s="3">
        <v>10000</v>
      </c>
      <c r="G259">
        <v>1</v>
      </c>
      <c r="H259" t="s">
        <v>31</v>
      </c>
      <c r="I259" t="s">
        <v>20</v>
      </c>
      <c r="J259" t="s">
        <v>15</v>
      </c>
      <c r="K259">
        <v>0</v>
      </c>
      <c r="L259" t="s">
        <v>16</v>
      </c>
      <c r="M259" t="s">
        <v>17</v>
      </c>
      <c r="N259">
        <v>70</v>
      </c>
      <c r="O259" t="str" cm="1">
        <f t="array" ref="O259">_xlfn.IFS(N259&gt;=54,"old",N259&gt;=31,"middle age",N259&gt;=18,"adolsent",N259&lt;18,"invalid")</f>
        <v>old</v>
      </c>
      <c r="P259" t="s">
        <v>18</v>
      </c>
    </row>
    <row r="260" spans="3:16" x14ac:dyDescent="0.3">
      <c r="C260">
        <v>15465</v>
      </c>
      <c r="D260" t="s">
        <v>36</v>
      </c>
      <c r="E260" t="s">
        <v>39</v>
      </c>
      <c r="F260" s="3">
        <v>10000</v>
      </c>
      <c r="G260">
        <v>0</v>
      </c>
      <c r="H260" t="s">
        <v>19</v>
      </c>
      <c r="I260" t="s">
        <v>25</v>
      </c>
      <c r="J260" t="s">
        <v>18</v>
      </c>
      <c r="K260">
        <v>1</v>
      </c>
      <c r="L260" t="s">
        <v>16</v>
      </c>
      <c r="M260" t="s">
        <v>24</v>
      </c>
      <c r="N260">
        <v>25</v>
      </c>
      <c r="O260" t="str" cm="1">
        <f t="array" ref="O260">_xlfn.IFS(N260&gt;=54,"old",N260&gt;=31,"middle age",N260&gt;=18,"adolsent",N260&lt;18,"invalid")</f>
        <v>adolsent</v>
      </c>
      <c r="P260" t="s">
        <v>18</v>
      </c>
    </row>
    <row r="261" spans="3:16" x14ac:dyDescent="0.3">
      <c r="C261">
        <v>15468</v>
      </c>
      <c r="D261" t="s">
        <v>36</v>
      </c>
      <c r="E261" t="s">
        <v>39</v>
      </c>
      <c r="F261" s="3">
        <v>50000</v>
      </c>
      <c r="G261">
        <v>1</v>
      </c>
      <c r="H261" t="s">
        <v>13</v>
      </c>
      <c r="I261" t="s">
        <v>14</v>
      </c>
      <c r="J261" t="s">
        <v>15</v>
      </c>
      <c r="K261">
        <v>1</v>
      </c>
      <c r="L261" t="s">
        <v>16</v>
      </c>
      <c r="M261" t="s">
        <v>32</v>
      </c>
      <c r="N261">
        <v>35</v>
      </c>
      <c r="O261" t="str" cm="1">
        <f t="array" ref="O261">_xlfn.IFS(N261&gt;=54,"old",N261&gt;=31,"middle age",N261&gt;=18,"adolsent",N261&lt;18,"invalid")</f>
        <v>middle age</v>
      </c>
      <c r="P261" t="s">
        <v>18</v>
      </c>
    </row>
    <row r="262" spans="3:16" x14ac:dyDescent="0.3">
      <c r="C262">
        <v>15501</v>
      </c>
      <c r="D262" t="s">
        <v>36</v>
      </c>
      <c r="E262" t="s">
        <v>38</v>
      </c>
      <c r="F262" s="3">
        <v>70000</v>
      </c>
      <c r="G262">
        <v>4</v>
      </c>
      <c r="H262" t="s">
        <v>31</v>
      </c>
      <c r="I262" t="s">
        <v>21</v>
      </c>
      <c r="J262" t="s">
        <v>15</v>
      </c>
      <c r="K262">
        <v>0</v>
      </c>
      <c r="L262" t="s">
        <v>22</v>
      </c>
      <c r="M262" t="s">
        <v>32</v>
      </c>
      <c r="N262">
        <v>36</v>
      </c>
      <c r="O262" t="str" cm="1">
        <f t="array" ref="O262">_xlfn.IFS(N262&gt;=54,"old",N262&gt;=31,"middle age",N262&gt;=18,"adolsent",N262&lt;18,"invalid")</f>
        <v>middle age</v>
      </c>
      <c r="P262" t="s">
        <v>15</v>
      </c>
    </row>
    <row r="263" spans="3:16" x14ac:dyDescent="0.3">
      <c r="C263">
        <v>15529</v>
      </c>
      <c r="D263" t="s">
        <v>36</v>
      </c>
      <c r="E263" t="s">
        <v>38</v>
      </c>
      <c r="F263" s="3">
        <v>60000</v>
      </c>
      <c r="G263">
        <v>4</v>
      </c>
      <c r="H263" t="s">
        <v>13</v>
      </c>
      <c r="I263" t="s">
        <v>21</v>
      </c>
      <c r="J263" t="s">
        <v>15</v>
      </c>
      <c r="K263">
        <v>2</v>
      </c>
      <c r="L263" t="s">
        <v>22</v>
      </c>
      <c r="M263" t="s">
        <v>32</v>
      </c>
      <c r="N263">
        <v>43</v>
      </c>
      <c r="O263" t="str" cm="1">
        <f t="array" ref="O263">_xlfn.IFS(N263&gt;=54,"old",N263&gt;=31,"middle age",N263&gt;=18,"adolsent",N263&lt;18,"invalid")</f>
        <v>middle age</v>
      </c>
      <c r="P263" t="s">
        <v>15</v>
      </c>
    </row>
    <row r="264" spans="3:16" x14ac:dyDescent="0.3">
      <c r="C264">
        <v>15532</v>
      </c>
      <c r="D264" t="s">
        <v>37</v>
      </c>
      <c r="E264" t="s">
        <v>38</v>
      </c>
      <c r="F264" s="3">
        <v>60000</v>
      </c>
      <c r="G264">
        <v>4</v>
      </c>
      <c r="H264" t="s">
        <v>13</v>
      </c>
      <c r="I264" t="s">
        <v>21</v>
      </c>
      <c r="J264" t="s">
        <v>15</v>
      </c>
      <c r="K264">
        <v>2</v>
      </c>
      <c r="L264" t="s">
        <v>22</v>
      </c>
      <c r="M264" t="s">
        <v>32</v>
      </c>
      <c r="N264">
        <v>43</v>
      </c>
      <c r="O264" t="str" cm="1">
        <f t="array" ref="O264">_xlfn.IFS(N264&gt;=54,"old",N264&gt;=31,"middle age",N264&gt;=18,"adolsent",N264&lt;18,"invalid")</f>
        <v>middle age</v>
      </c>
      <c r="P264" t="s">
        <v>15</v>
      </c>
    </row>
    <row r="265" spans="3:16" x14ac:dyDescent="0.3">
      <c r="C265">
        <v>15555</v>
      </c>
      <c r="D265" t="s">
        <v>36</v>
      </c>
      <c r="E265" t="s">
        <v>39</v>
      </c>
      <c r="F265" s="3">
        <v>60000</v>
      </c>
      <c r="G265">
        <v>1</v>
      </c>
      <c r="H265" t="s">
        <v>19</v>
      </c>
      <c r="I265" t="s">
        <v>14</v>
      </c>
      <c r="J265" t="s">
        <v>15</v>
      </c>
      <c r="K265">
        <v>1</v>
      </c>
      <c r="L265" t="s">
        <v>22</v>
      </c>
      <c r="M265" t="s">
        <v>32</v>
      </c>
      <c r="N265">
        <v>45</v>
      </c>
      <c r="O265" t="str" cm="1">
        <f t="array" ref="O265">_xlfn.IFS(N265&gt;=54,"old",N265&gt;=31,"middle age",N265&gt;=18,"adolsent",N265&lt;18,"invalid")</f>
        <v>middle age</v>
      </c>
      <c r="P265" t="s">
        <v>15</v>
      </c>
    </row>
    <row r="266" spans="3:16" x14ac:dyDescent="0.3">
      <c r="C266">
        <v>15559</v>
      </c>
      <c r="D266" t="s">
        <v>36</v>
      </c>
      <c r="E266" t="s">
        <v>38</v>
      </c>
      <c r="F266" s="3">
        <v>60000</v>
      </c>
      <c r="G266">
        <v>5</v>
      </c>
      <c r="H266" t="s">
        <v>13</v>
      </c>
      <c r="I266" t="s">
        <v>21</v>
      </c>
      <c r="J266" t="s">
        <v>15</v>
      </c>
      <c r="K266">
        <v>1</v>
      </c>
      <c r="L266" t="s">
        <v>22</v>
      </c>
      <c r="M266" t="s">
        <v>32</v>
      </c>
      <c r="N266">
        <v>47</v>
      </c>
      <c r="O266" t="str" cm="1">
        <f t="array" ref="O266">_xlfn.IFS(N266&gt;=54,"old",N266&gt;=31,"middle age",N266&gt;=18,"adolsent",N266&lt;18,"invalid")</f>
        <v>middle age</v>
      </c>
      <c r="P266" t="s">
        <v>18</v>
      </c>
    </row>
    <row r="267" spans="3:16" x14ac:dyDescent="0.3">
      <c r="C267">
        <v>15580</v>
      </c>
      <c r="D267" t="s">
        <v>36</v>
      </c>
      <c r="E267" t="s">
        <v>38</v>
      </c>
      <c r="F267" s="3">
        <v>60000</v>
      </c>
      <c r="G267">
        <v>2</v>
      </c>
      <c r="H267" t="s">
        <v>13</v>
      </c>
      <c r="I267" t="s">
        <v>21</v>
      </c>
      <c r="J267" t="s">
        <v>15</v>
      </c>
      <c r="K267">
        <v>1</v>
      </c>
      <c r="L267" t="s">
        <v>22</v>
      </c>
      <c r="M267" t="s">
        <v>24</v>
      </c>
      <c r="N267">
        <v>38</v>
      </c>
      <c r="O267" t="str" cm="1">
        <f t="array" ref="O267">_xlfn.IFS(N267&gt;=54,"old",N267&gt;=31,"middle age",N267&gt;=18,"adolsent",N267&lt;18,"invalid")</f>
        <v>middle age</v>
      </c>
      <c r="P267" t="s">
        <v>15</v>
      </c>
    </row>
    <row r="268" spans="3:16" x14ac:dyDescent="0.3">
      <c r="C268">
        <v>15608</v>
      </c>
      <c r="D268" t="s">
        <v>37</v>
      </c>
      <c r="E268" t="s">
        <v>39</v>
      </c>
      <c r="F268" s="3">
        <v>30000</v>
      </c>
      <c r="G268">
        <v>0</v>
      </c>
      <c r="H268" t="s">
        <v>19</v>
      </c>
      <c r="I268" t="s">
        <v>20</v>
      </c>
      <c r="J268" t="s">
        <v>18</v>
      </c>
      <c r="K268">
        <v>1</v>
      </c>
      <c r="L268" t="s">
        <v>22</v>
      </c>
      <c r="M268" t="s">
        <v>17</v>
      </c>
      <c r="N268">
        <v>33</v>
      </c>
      <c r="O268" t="str" cm="1">
        <f t="array" ref="O268">_xlfn.IFS(N268&gt;=54,"old",N268&gt;=31,"middle age",N268&gt;=18,"adolsent",N268&lt;18,"invalid")</f>
        <v>middle age</v>
      </c>
      <c r="P268" t="s">
        <v>18</v>
      </c>
    </row>
    <row r="269" spans="3:16" x14ac:dyDescent="0.3">
      <c r="C269">
        <v>15612</v>
      </c>
      <c r="D269" t="s">
        <v>37</v>
      </c>
      <c r="E269" t="s">
        <v>38</v>
      </c>
      <c r="F269" s="3">
        <v>30000</v>
      </c>
      <c r="G269">
        <v>0</v>
      </c>
      <c r="H269" t="s">
        <v>27</v>
      </c>
      <c r="I269" t="s">
        <v>25</v>
      </c>
      <c r="J269" t="s">
        <v>18</v>
      </c>
      <c r="K269">
        <v>1</v>
      </c>
      <c r="L269" t="s">
        <v>26</v>
      </c>
      <c r="M269" t="s">
        <v>17</v>
      </c>
      <c r="N269">
        <v>28</v>
      </c>
      <c r="O269" t="str" cm="1">
        <f t="array" ref="O269">_xlfn.IFS(N269&gt;=54,"old",N269&gt;=31,"middle age",N269&gt;=18,"adolsent",N269&lt;18,"invalid")</f>
        <v>adolsent</v>
      </c>
      <c r="P269" t="s">
        <v>18</v>
      </c>
    </row>
    <row r="270" spans="3:16" x14ac:dyDescent="0.3">
      <c r="C270">
        <v>15628</v>
      </c>
      <c r="D270" t="s">
        <v>36</v>
      </c>
      <c r="E270" t="s">
        <v>39</v>
      </c>
      <c r="F270" s="3">
        <v>40000</v>
      </c>
      <c r="G270">
        <v>1</v>
      </c>
      <c r="H270" t="s">
        <v>13</v>
      </c>
      <c r="I270" t="s">
        <v>14</v>
      </c>
      <c r="J270" t="s">
        <v>15</v>
      </c>
      <c r="K270">
        <v>1</v>
      </c>
      <c r="L270" t="s">
        <v>16</v>
      </c>
      <c r="M270" t="s">
        <v>17</v>
      </c>
      <c r="N270">
        <v>89</v>
      </c>
      <c r="O270" t="str" cm="1">
        <f t="array" ref="O270">_xlfn.IFS(N270&gt;=54,"old",N270&gt;=31,"middle age",N270&gt;=18,"adolsent",N270&lt;18,"invalid")</f>
        <v>old</v>
      </c>
      <c r="P270" t="s">
        <v>18</v>
      </c>
    </row>
    <row r="271" spans="3:16" x14ac:dyDescent="0.3">
      <c r="C271">
        <v>15629</v>
      </c>
      <c r="D271" t="s">
        <v>37</v>
      </c>
      <c r="E271" t="s">
        <v>39</v>
      </c>
      <c r="F271" s="3">
        <v>10000</v>
      </c>
      <c r="G271">
        <v>0</v>
      </c>
      <c r="H271" t="s">
        <v>29</v>
      </c>
      <c r="I271" t="s">
        <v>25</v>
      </c>
      <c r="J271" t="s">
        <v>15</v>
      </c>
      <c r="K271">
        <v>2</v>
      </c>
      <c r="L271" t="s">
        <v>26</v>
      </c>
      <c r="M271" t="s">
        <v>17</v>
      </c>
      <c r="N271">
        <v>34</v>
      </c>
      <c r="O271" t="str" cm="1">
        <f t="array" ref="O271">_xlfn.IFS(N271&gt;=54,"old",N271&gt;=31,"middle age",N271&gt;=18,"adolsent",N271&lt;18,"invalid")</f>
        <v>middle age</v>
      </c>
      <c r="P271" t="s">
        <v>18</v>
      </c>
    </row>
    <row r="272" spans="3:16" x14ac:dyDescent="0.3">
      <c r="C272">
        <v>15657</v>
      </c>
      <c r="D272" t="s">
        <v>36</v>
      </c>
      <c r="E272" t="s">
        <v>38</v>
      </c>
      <c r="F272" s="3">
        <v>30000</v>
      </c>
      <c r="G272">
        <v>3</v>
      </c>
      <c r="H272" t="s">
        <v>31</v>
      </c>
      <c r="I272" t="s">
        <v>20</v>
      </c>
      <c r="J272" t="s">
        <v>15</v>
      </c>
      <c r="K272">
        <v>0</v>
      </c>
      <c r="L272" t="s">
        <v>16</v>
      </c>
      <c r="M272" t="s">
        <v>17</v>
      </c>
      <c r="N272">
        <v>46</v>
      </c>
      <c r="O272" t="str" cm="1">
        <f t="array" ref="O272">_xlfn.IFS(N272&gt;=54,"old",N272&gt;=31,"middle age",N272&gt;=18,"adolsent",N272&lt;18,"invalid")</f>
        <v>middle age</v>
      </c>
      <c r="P272" t="s">
        <v>15</v>
      </c>
    </row>
    <row r="273" spans="3:16" x14ac:dyDescent="0.3">
      <c r="C273">
        <v>15665</v>
      </c>
      <c r="D273" t="s">
        <v>36</v>
      </c>
      <c r="E273" t="s">
        <v>39</v>
      </c>
      <c r="F273" s="3">
        <v>30000</v>
      </c>
      <c r="G273">
        <v>0</v>
      </c>
      <c r="H273" t="s">
        <v>13</v>
      </c>
      <c r="I273" t="s">
        <v>20</v>
      </c>
      <c r="J273" t="s">
        <v>15</v>
      </c>
      <c r="K273">
        <v>0</v>
      </c>
      <c r="L273" t="s">
        <v>16</v>
      </c>
      <c r="M273" t="s">
        <v>17</v>
      </c>
      <c r="N273">
        <v>47</v>
      </c>
      <c r="O273" t="str" cm="1">
        <f t="array" ref="O273">_xlfn.IFS(N273&gt;=54,"old",N273&gt;=31,"middle age",N273&gt;=18,"adolsent",N273&lt;18,"invalid")</f>
        <v>middle age</v>
      </c>
      <c r="P273" t="s">
        <v>15</v>
      </c>
    </row>
    <row r="274" spans="3:16" x14ac:dyDescent="0.3">
      <c r="C274">
        <v>15682</v>
      </c>
      <c r="D274" t="s">
        <v>37</v>
      </c>
      <c r="E274" t="s">
        <v>39</v>
      </c>
      <c r="F274" s="3">
        <v>80000</v>
      </c>
      <c r="G274">
        <v>5</v>
      </c>
      <c r="H274" t="s">
        <v>13</v>
      </c>
      <c r="I274" t="s">
        <v>28</v>
      </c>
      <c r="J274" t="s">
        <v>15</v>
      </c>
      <c r="K274">
        <v>2</v>
      </c>
      <c r="L274" t="s">
        <v>30</v>
      </c>
      <c r="M274" t="s">
        <v>17</v>
      </c>
      <c r="N274">
        <v>62</v>
      </c>
      <c r="O274" t="str" cm="1">
        <f t="array" ref="O274">_xlfn.IFS(N274&gt;=54,"old",N274&gt;=31,"middle age",N274&gt;=18,"adolsent",N274&lt;18,"invalid")</f>
        <v>old</v>
      </c>
      <c r="P274" t="s">
        <v>18</v>
      </c>
    </row>
    <row r="275" spans="3:16" x14ac:dyDescent="0.3">
      <c r="C275">
        <v>15740</v>
      </c>
      <c r="D275" t="s">
        <v>36</v>
      </c>
      <c r="E275" t="s">
        <v>38</v>
      </c>
      <c r="F275" s="3">
        <v>80000</v>
      </c>
      <c r="G275">
        <v>5</v>
      </c>
      <c r="H275" t="s">
        <v>13</v>
      </c>
      <c r="I275" t="s">
        <v>28</v>
      </c>
      <c r="J275" t="s">
        <v>15</v>
      </c>
      <c r="K275">
        <v>2</v>
      </c>
      <c r="L275" t="s">
        <v>26</v>
      </c>
      <c r="M275" t="s">
        <v>32</v>
      </c>
      <c r="N275">
        <v>64</v>
      </c>
      <c r="O275" t="str" cm="1">
        <f t="array" ref="O275">_xlfn.IFS(N275&gt;=54,"old",N275&gt;=31,"middle age",N275&gt;=18,"adolsent",N275&lt;18,"invalid")</f>
        <v>old</v>
      </c>
      <c r="P275" t="s">
        <v>18</v>
      </c>
    </row>
    <row r="276" spans="3:16" x14ac:dyDescent="0.3">
      <c r="C276">
        <v>15749</v>
      </c>
      <c r="D276" t="s">
        <v>37</v>
      </c>
      <c r="E276" t="s">
        <v>39</v>
      </c>
      <c r="F276" s="3">
        <v>70000</v>
      </c>
      <c r="G276">
        <v>4</v>
      </c>
      <c r="H276" t="s">
        <v>13</v>
      </c>
      <c r="I276" t="s">
        <v>28</v>
      </c>
      <c r="J276" t="s">
        <v>15</v>
      </c>
      <c r="K276">
        <v>2</v>
      </c>
      <c r="L276" t="s">
        <v>30</v>
      </c>
      <c r="M276" t="s">
        <v>32</v>
      </c>
      <c r="N276">
        <v>61</v>
      </c>
      <c r="O276" t="str" cm="1">
        <f t="array" ref="O276">_xlfn.IFS(N276&gt;=54,"old",N276&gt;=31,"middle age",N276&gt;=18,"adolsent",N276&lt;18,"invalid")</f>
        <v>old</v>
      </c>
      <c r="P276" t="s">
        <v>18</v>
      </c>
    </row>
    <row r="277" spans="3:16" x14ac:dyDescent="0.3">
      <c r="C277">
        <v>15752</v>
      </c>
      <c r="D277" t="s">
        <v>36</v>
      </c>
      <c r="E277" t="s">
        <v>38</v>
      </c>
      <c r="F277" s="3">
        <v>80000</v>
      </c>
      <c r="G277">
        <v>2</v>
      </c>
      <c r="H277" t="s">
        <v>27</v>
      </c>
      <c r="I277" t="s">
        <v>14</v>
      </c>
      <c r="J277" t="s">
        <v>18</v>
      </c>
      <c r="K277">
        <v>2</v>
      </c>
      <c r="L277" t="s">
        <v>26</v>
      </c>
      <c r="M277" t="s">
        <v>24</v>
      </c>
      <c r="N277">
        <v>50</v>
      </c>
      <c r="O277" t="str" cm="1">
        <f t="array" ref="O277">_xlfn.IFS(N277&gt;=54,"old",N277&gt;=31,"middle age",N277&gt;=18,"adolsent",N277&lt;18,"invalid")</f>
        <v>middle age</v>
      </c>
      <c r="P277" t="s">
        <v>15</v>
      </c>
    </row>
    <row r="278" spans="3:16" x14ac:dyDescent="0.3">
      <c r="C278">
        <v>15758</v>
      </c>
      <c r="D278" t="s">
        <v>36</v>
      </c>
      <c r="E278" t="s">
        <v>38</v>
      </c>
      <c r="F278" s="3">
        <v>130000</v>
      </c>
      <c r="G278">
        <v>0</v>
      </c>
      <c r="H278" t="s">
        <v>31</v>
      </c>
      <c r="I278" t="s">
        <v>28</v>
      </c>
      <c r="J278" t="s">
        <v>15</v>
      </c>
      <c r="K278">
        <v>0</v>
      </c>
      <c r="L278" t="s">
        <v>23</v>
      </c>
      <c r="M278" t="s">
        <v>24</v>
      </c>
      <c r="N278">
        <v>48</v>
      </c>
      <c r="O278" t="str" cm="1">
        <f t="array" ref="O278">_xlfn.IFS(N278&gt;=54,"old",N278&gt;=31,"middle age",N278&gt;=18,"adolsent",N278&lt;18,"invalid")</f>
        <v>middle age</v>
      </c>
      <c r="P278" t="s">
        <v>18</v>
      </c>
    </row>
    <row r="279" spans="3:16" x14ac:dyDescent="0.3">
      <c r="C279">
        <v>15799</v>
      </c>
      <c r="D279" t="s">
        <v>36</v>
      </c>
      <c r="E279" t="s">
        <v>39</v>
      </c>
      <c r="F279" s="3">
        <v>90000</v>
      </c>
      <c r="G279">
        <v>1</v>
      </c>
      <c r="H279" t="s">
        <v>13</v>
      </c>
      <c r="I279" t="s">
        <v>21</v>
      </c>
      <c r="J279" t="s">
        <v>15</v>
      </c>
      <c r="K279">
        <v>1</v>
      </c>
      <c r="L279" t="s">
        <v>22</v>
      </c>
      <c r="M279" t="s">
        <v>24</v>
      </c>
      <c r="N279">
        <v>47</v>
      </c>
      <c r="O279" t="str" cm="1">
        <f t="array" ref="O279">_xlfn.IFS(N279&gt;=54,"old",N279&gt;=31,"middle age",N279&gt;=18,"adolsent",N279&lt;18,"invalid")</f>
        <v>middle age</v>
      </c>
      <c r="P279" t="s">
        <v>15</v>
      </c>
    </row>
    <row r="280" spans="3:16" x14ac:dyDescent="0.3">
      <c r="C280">
        <v>15814</v>
      </c>
      <c r="D280" t="s">
        <v>37</v>
      </c>
      <c r="E280" t="s">
        <v>39</v>
      </c>
      <c r="F280" s="3">
        <v>40000</v>
      </c>
      <c r="G280">
        <v>0</v>
      </c>
      <c r="H280" t="s">
        <v>27</v>
      </c>
      <c r="I280" t="s">
        <v>14</v>
      </c>
      <c r="J280" t="s">
        <v>15</v>
      </c>
      <c r="K280">
        <v>1</v>
      </c>
      <c r="L280" t="s">
        <v>23</v>
      </c>
      <c r="M280" t="s">
        <v>32</v>
      </c>
      <c r="N280">
        <v>30</v>
      </c>
      <c r="O280" t="str" cm="1">
        <f t="array" ref="O280">_xlfn.IFS(N280&gt;=54,"old",N280&gt;=31,"middle age",N280&gt;=18,"adolsent",N280&lt;18,"invalid")</f>
        <v>adolsent</v>
      </c>
      <c r="P280" t="s">
        <v>18</v>
      </c>
    </row>
    <row r="281" spans="3:16" x14ac:dyDescent="0.3">
      <c r="C281">
        <v>15822</v>
      </c>
      <c r="D281" t="s">
        <v>36</v>
      </c>
      <c r="E281" t="s">
        <v>38</v>
      </c>
      <c r="F281" s="3">
        <v>40000</v>
      </c>
      <c r="G281">
        <v>2</v>
      </c>
      <c r="H281" t="s">
        <v>13</v>
      </c>
      <c r="I281" t="s">
        <v>28</v>
      </c>
      <c r="J281" t="s">
        <v>15</v>
      </c>
      <c r="K281">
        <v>2</v>
      </c>
      <c r="L281" t="s">
        <v>16</v>
      </c>
      <c r="M281" t="s">
        <v>24</v>
      </c>
      <c r="N281">
        <v>67</v>
      </c>
      <c r="O281" t="str" cm="1">
        <f t="array" ref="O281">_xlfn.IFS(N281&gt;=54,"old",N281&gt;=31,"middle age",N281&gt;=18,"adolsent",N281&lt;18,"invalid")</f>
        <v>old</v>
      </c>
      <c r="P281" t="s">
        <v>18</v>
      </c>
    </row>
    <row r="282" spans="3:16" x14ac:dyDescent="0.3">
      <c r="C282">
        <v>15839</v>
      </c>
      <c r="D282" t="s">
        <v>37</v>
      </c>
      <c r="E282" t="s">
        <v>38</v>
      </c>
      <c r="F282" s="3">
        <v>30000</v>
      </c>
      <c r="G282">
        <v>0</v>
      </c>
      <c r="H282" t="s">
        <v>19</v>
      </c>
      <c r="I282" t="s">
        <v>14</v>
      </c>
      <c r="J282" t="s">
        <v>15</v>
      </c>
      <c r="K282">
        <v>1</v>
      </c>
      <c r="L282" t="s">
        <v>23</v>
      </c>
      <c r="M282" t="s">
        <v>32</v>
      </c>
      <c r="N282">
        <v>32</v>
      </c>
      <c r="O282" t="str" cm="1">
        <f t="array" ref="O282">_xlfn.IFS(N282&gt;=54,"old",N282&gt;=31,"middle age",N282&gt;=18,"adolsent",N282&lt;18,"invalid")</f>
        <v>middle age</v>
      </c>
      <c r="P282" t="s">
        <v>18</v>
      </c>
    </row>
    <row r="283" spans="3:16" x14ac:dyDescent="0.3">
      <c r="C283">
        <v>15862</v>
      </c>
      <c r="D283" t="s">
        <v>37</v>
      </c>
      <c r="E283" t="s">
        <v>39</v>
      </c>
      <c r="F283" s="3">
        <v>50000</v>
      </c>
      <c r="G283">
        <v>0</v>
      </c>
      <c r="H283" t="s">
        <v>31</v>
      </c>
      <c r="I283" t="s">
        <v>14</v>
      </c>
      <c r="J283" t="s">
        <v>15</v>
      </c>
      <c r="K283">
        <v>0</v>
      </c>
      <c r="L283" t="s">
        <v>26</v>
      </c>
      <c r="M283" t="s">
        <v>32</v>
      </c>
      <c r="N283">
        <v>33</v>
      </c>
      <c r="O283" t="str" cm="1">
        <f t="array" ref="O283">_xlfn.IFS(N283&gt;=54,"old",N283&gt;=31,"middle age",N283&gt;=18,"adolsent",N283&lt;18,"invalid")</f>
        <v>middle age</v>
      </c>
      <c r="P283" t="s">
        <v>15</v>
      </c>
    </row>
    <row r="284" spans="3:16" x14ac:dyDescent="0.3">
      <c r="C284">
        <v>15879</v>
      </c>
      <c r="D284" t="s">
        <v>36</v>
      </c>
      <c r="E284" t="s">
        <v>38</v>
      </c>
      <c r="F284" s="3">
        <v>70000</v>
      </c>
      <c r="G284">
        <v>5</v>
      </c>
      <c r="H284" t="s">
        <v>13</v>
      </c>
      <c r="I284" t="s">
        <v>28</v>
      </c>
      <c r="J284" t="s">
        <v>15</v>
      </c>
      <c r="K284">
        <v>2</v>
      </c>
      <c r="L284" t="s">
        <v>22</v>
      </c>
      <c r="M284" t="s">
        <v>32</v>
      </c>
      <c r="N284">
        <v>61</v>
      </c>
      <c r="O284" t="str" cm="1">
        <f t="array" ref="O284">_xlfn.IFS(N284&gt;=54,"old",N284&gt;=31,"middle age",N284&gt;=18,"adolsent",N284&lt;18,"invalid")</f>
        <v>old</v>
      </c>
      <c r="P284" t="s">
        <v>18</v>
      </c>
    </row>
    <row r="285" spans="3:16" x14ac:dyDescent="0.3">
      <c r="C285">
        <v>15895</v>
      </c>
      <c r="D285" t="s">
        <v>37</v>
      </c>
      <c r="E285" t="s">
        <v>39</v>
      </c>
      <c r="F285" s="3">
        <v>60000</v>
      </c>
      <c r="G285">
        <v>2</v>
      </c>
      <c r="H285" t="s">
        <v>13</v>
      </c>
      <c r="I285" t="s">
        <v>28</v>
      </c>
      <c r="J285" t="s">
        <v>15</v>
      </c>
      <c r="K285">
        <v>0</v>
      </c>
      <c r="L285" t="s">
        <v>30</v>
      </c>
      <c r="M285" t="s">
        <v>32</v>
      </c>
      <c r="N285">
        <v>58</v>
      </c>
      <c r="O285" t="str" cm="1">
        <f t="array" ref="O285">_xlfn.IFS(N285&gt;=54,"old",N285&gt;=31,"middle age",N285&gt;=18,"adolsent",N285&lt;18,"invalid")</f>
        <v>old</v>
      </c>
      <c r="P285" t="s">
        <v>18</v>
      </c>
    </row>
    <row r="286" spans="3:16" x14ac:dyDescent="0.3">
      <c r="C286">
        <v>15922</v>
      </c>
      <c r="D286" t="s">
        <v>36</v>
      </c>
      <c r="E286" t="s">
        <v>38</v>
      </c>
      <c r="F286" s="3">
        <v>150000</v>
      </c>
      <c r="G286">
        <v>2</v>
      </c>
      <c r="H286" t="s">
        <v>27</v>
      </c>
      <c r="I286" t="s">
        <v>21</v>
      </c>
      <c r="J286" t="s">
        <v>15</v>
      </c>
      <c r="K286">
        <v>4</v>
      </c>
      <c r="L286" t="s">
        <v>16</v>
      </c>
      <c r="M286" t="s">
        <v>17</v>
      </c>
      <c r="N286">
        <v>48</v>
      </c>
      <c r="O286" t="str" cm="1">
        <f t="array" ref="O286">_xlfn.IFS(N286&gt;=54,"old",N286&gt;=31,"middle age",N286&gt;=18,"adolsent",N286&lt;18,"invalid")</f>
        <v>middle age</v>
      </c>
      <c r="P286" t="s">
        <v>18</v>
      </c>
    </row>
    <row r="287" spans="3:16" x14ac:dyDescent="0.3">
      <c r="C287">
        <v>15926</v>
      </c>
      <c r="D287" t="s">
        <v>37</v>
      </c>
      <c r="E287" t="s">
        <v>39</v>
      </c>
      <c r="F287" s="3">
        <v>120000</v>
      </c>
      <c r="G287">
        <v>3</v>
      </c>
      <c r="H287" t="s">
        <v>27</v>
      </c>
      <c r="I287" t="s">
        <v>21</v>
      </c>
      <c r="J287" t="s">
        <v>15</v>
      </c>
      <c r="K287">
        <v>4</v>
      </c>
      <c r="L287" t="s">
        <v>23</v>
      </c>
      <c r="M287" t="s">
        <v>17</v>
      </c>
      <c r="N287">
        <v>50</v>
      </c>
      <c r="O287" t="str" cm="1">
        <f t="array" ref="O287">_xlfn.IFS(N287&gt;=54,"old",N287&gt;=31,"middle age",N287&gt;=18,"adolsent",N287&lt;18,"invalid")</f>
        <v>middle age</v>
      </c>
      <c r="P287" t="s">
        <v>15</v>
      </c>
    </row>
    <row r="288" spans="3:16" x14ac:dyDescent="0.3">
      <c r="C288">
        <v>15940</v>
      </c>
      <c r="D288" t="s">
        <v>36</v>
      </c>
      <c r="E288" t="s">
        <v>38</v>
      </c>
      <c r="F288" s="3">
        <v>100000</v>
      </c>
      <c r="G288">
        <v>4</v>
      </c>
      <c r="H288" t="s">
        <v>19</v>
      </c>
      <c r="I288" t="s">
        <v>21</v>
      </c>
      <c r="J288" t="s">
        <v>15</v>
      </c>
      <c r="K288">
        <v>4</v>
      </c>
      <c r="L288" t="s">
        <v>16</v>
      </c>
      <c r="M288" t="s">
        <v>32</v>
      </c>
      <c r="N288">
        <v>40</v>
      </c>
      <c r="O288" t="str" cm="1">
        <f t="array" ref="O288">_xlfn.IFS(N288&gt;=54,"old",N288&gt;=31,"middle age",N288&gt;=18,"adolsent",N288&lt;18,"invalid")</f>
        <v>middle age</v>
      </c>
      <c r="P288" t="s">
        <v>18</v>
      </c>
    </row>
    <row r="289" spans="3:16" x14ac:dyDescent="0.3">
      <c r="C289">
        <v>15982</v>
      </c>
      <c r="D289" t="s">
        <v>36</v>
      </c>
      <c r="E289" t="s">
        <v>38</v>
      </c>
      <c r="F289" s="3">
        <v>110000</v>
      </c>
      <c r="G289">
        <v>5</v>
      </c>
      <c r="H289" t="s">
        <v>19</v>
      </c>
      <c r="I289" t="s">
        <v>21</v>
      </c>
      <c r="J289" t="s">
        <v>15</v>
      </c>
      <c r="K289">
        <v>4</v>
      </c>
      <c r="L289" t="s">
        <v>22</v>
      </c>
      <c r="M289" t="s">
        <v>32</v>
      </c>
      <c r="N289">
        <v>46</v>
      </c>
      <c r="O289" t="str" cm="1">
        <f t="array" ref="O289">_xlfn.IFS(N289&gt;=54,"old",N289&gt;=31,"middle age",N289&gt;=18,"adolsent",N289&lt;18,"invalid")</f>
        <v>middle age</v>
      </c>
      <c r="P289" t="s">
        <v>18</v>
      </c>
    </row>
    <row r="290" spans="3:16" x14ac:dyDescent="0.3">
      <c r="C290">
        <v>16007</v>
      </c>
      <c r="D290" t="s">
        <v>36</v>
      </c>
      <c r="E290" t="s">
        <v>39</v>
      </c>
      <c r="F290" s="3">
        <v>90000</v>
      </c>
      <c r="G290">
        <v>5</v>
      </c>
      <c r="H290" t="s">
        <v>13</v>
      </c>
      <c r="I290" t="s">
        <v>28</v>
      </c>
      <c r="J290" t="s">
        <v>15</v>
      </c>
      <c r="K290">
        <v>2</v>
      </c>
      <c r="L290" t="s">
        <v>26</v>
      </c>
      <c r="M290" t="s">
        <v>32</v>
      </c>
      <c r="N290">
        <v>66</v>
      </c>
      <c r="O290" t="str" cm="1">
        <f t="array" ref="O290">_xlfn.IFS(N290&gt;=54,"old",N290&gt;=31,"middle age",N290&gt;=18,"adolsent",N290&lt;18,"invalid")</f>
        <v>old</v>
      </c>
      <c r="P290" t="s">
        <v>15</v>
      </c>
    </row>
    <row r="291" spans="3:16" x14ac:dyDescent="0.3">
      <c r="C291">
        <v>16009</v>
      </c>
      <c r="D291" t="s">
        <v>37</v>
      </c>
      <c r="E291" t="s">
        <v>38</v>
      </c>
      <c r="F291" s="3">
        <v>170000</v>
      </c>
      <c r="G291">
        <v>1</v>
      </c>
      <c r="H291" t="s">
        <v>31</v>
      </c>
      <c r="I291" t="s">
        <v>28</v>
      </c>
      <c r="J291" t="s">
        <v>18</v>
      </c>
      <c r="K291">
        <v>4</v>
      </c>
      <c r="L291" t="s">
        <v>16</v>
      </c>
      <c r="M291" t="s">
        <v>32</v>
      </c>
      <c r="N291">
        <v>66</v>
      </c>
      <c r="O291" t="str" cm="1">
        <f t="array" ref="O291">_xlfn.IFS(N291&gt;=54,"old",N291&gt;=31,"middle age",N291&gt;=18,"adolsent",N291&lt;18,"invalid")</f>
        <v>old</v>
      </c>
      <c r="P291" t="s">
        <v>18</v>
      </c>
    </row>
    <row r="292" spans="3:16" x14ac:dyDescent="0.3">
      <c r="C292">
        <v>16020</v>
      </c>
      <c r="D292" t="s">
        <v>36</v>
      </c>
      <c r="E292" t="s">
        <v>38</v>
      </c>
      <c r="F292" s="3">
        <v>40000</v>
      </c>
      <c r="G292">
        <v>0</v>
      </c>
      <c r="H292" t="s">
        <v>27</v>
      </c>
      <c r="I292" t="s">
        <v>14</v>
      </c>
      <c r="J292" t="s">
        <v>15</v>
      </c>
      <c r="K292">
        <v>2</v>
      </c>
      <c r="L292" t="s">
        <v>23</v>
      </c>
      <c r="M292" t="s">
        <v>32</v>
      </c>
      <c r="N292">
        <v>28</v>
      </c>
      <c r="O292" t="str" cm="1">
        <f t="array" ref="O292">_xlfn.IFS(N292&gt;=54,"old",N292&gt;=31,"middle age",N292&gt;=18,"adolsent",N292&lt;18,"invalid")</f>
        <v>adolsent</v>
      </c>
      <c r="P292" t="s">
        <v>15</v>
      </c>
    </row>
    <row r="293" spans="3:16" x14ac:dyDescent="0.3">
      <c r="C293">
        <v>16043</v>
      </c>
      <c r="D293" t="s">
        <v>37</v>
      </c>
      <c r="E293" t="s">
        <v>38</v>
      </c>
      <c r="F293" s="3">
        <v>10000</v>
      </c>
      <c r="G293">
        <v>1</v>
      </c>
      <c r="H293" t="s">
        <v>13</v>
      </c>
      <c r="I293" t="s">
        <v>25</v>
      </c>
      <c r="J293" t="s">
        <v>15</v>
      </c>
      <c r="K293">
        <v>0</v>
      </c>
      <c r="L293" t="s">
        <v>16</v>
      </c>
      <c r="M293" t="s">
        <v>17</v>
      </c>
      <c r="N293">
        <v>48</v>
      </c>
      <c r="O293" t="str" cm="1">
        <f t="array" ref="O293">_xlfn.IFS(N293&gt;=54,"old",N293&gt;=31,"middle age",N293&gt;=18,"adolsent",N293&lt;18,"invalid")</f>
        <v>middle age</v>
      </c>
      <c r="P293" t="s">
        <v>18</v>
      </c>
    </row>
    <row r="294" spans="3:16" x14ac:dyDescent="0.3">
      <c r="C294">
        <v>16112</v>
      </c>
      <c r="D294" t="s">
        <v>37</v>
      </c>
      <c r="E294" t="s">
        <v>38</v>
      </c>
      <c r="F294" s="3">
        <v>70000</v>
      </c>
      <c r="G294">
        <v>4</v>
      </c>
      <c r="H294" t="s">
        <v>13</v>
      </c>
      <c r="I294" t="s">
        <v>21</v>
      </c>
      <c r="J294" t="s">
        <v>15</v>
      </c>
      <c r="K294">
        <v>2</v>
      </c>
      <c r="L294" t="s">
        <v>22</v>
      </c>
      <c r="M294" t="s">
        <v>32</v>
      </c>
      <c r="N294">
        <v>43</v>
      </c>
      <c r="O294" t="str" cm="1">
        <f t="array" ref="O294">_xlfn.IFS(N294&gt;=54,"old",N294&gt;=31,"middle age",N294&gt;=18,"adolsent",N294&lt;18,"invalid")</f>
        <v>middle age</v>
      </c>
      <c r="P294" t="s">
        <v>15</v>
      </c>
    </row>
    <row r="295" spans="3:16" x14ac:dyDescent="0.3">
      <c r="C295">
        <v>16122</v>
      </c>
      <c r="D295" t="s">
        <v>36</v>
      </c>
      <c r="E295" t="s">
        <v>38</v>
      </c>
      <c r="F295" s="3">
        <v>40000</v>
      </c>
      <c r="G295">
        <v>4</v>
      </c>
      <c r="H295" t="s">
        <v>27</v>
      </c>
      <c r="I295" t="s">
        <v>14</v>
      </c>
      <c r="J295" t="s">
        <v>15</v>
      </c>
      <c r="K295">
        <v>2</v>
      </c>
      <c r="L295" t="s">
        <v>16</v>
      </c>
      <c r="M295" t="s">
        <v>32</v>
      </c>
      <c r="N295">
        <v>44</v>
      </c>
      <c r="O295" t="str" cm="1">
        <f t="array" ref="O295">_xlfn.IFS(N295&gt;=54,"old",N295&gt;=31,"middle age",N295&gt;=18,"adolsent",N295&lt;18,"invalid")</f>
        <v>middle age</v>
      </c>
      <c r="P295" t="s">
        <v>15</v>
      </c>
    </row>
    <row r="296" spans="3:16" x14ac:dyDescent="0.3">
      <c r="C296">
        <v>16144</v>
      </c>
      <c r="D296" t="s">
        <v>36</v>
      </c>
      <c r="E296" t="s">
        <v>38</v>
      </c>
      <c r="F296" s="3">
        <v>70000</v>
      </c>
      <c r="G296">
        <v>1</v>
      </c>
      <c r="H296" t="s">
        <v>31</v>
      </c>
      <c r="I296" t="s">
        <v>21</v>
      </c>
      <c r="J296" t="s">
        <v>15</v>
      </c>
      <c r="K296">
        <v>1</v>
      </c>
      <c r="L296" t="s">
        <v>16</v>
      </c>
      <c r="M296" t="s">
        <v>32</v>
      </c>
      <c r="N296">
        <v>46</v>
      </c>
      <c r="O296" t="str" cm="1">
        <f t="array" ref="O296">_xlfn.IFS(N296&gt;=54,"old",N296&gt;=31,"middle age",N296&gt;=18,"adolsent",N296&lt;18,"invalid")</f>
        <v>middle age</v>
      </c>
      <c r="P296" t="s">
        <v>15</v>
      </c>
    </row>
    <row r="297" spans="3:16" x14ac:dyDescent="0.3">
      <c r="C297">
        <v>16145</v>
      </c>
      <c r="D297" t="s">
        <v>37</v>
      </c>
      <c r="E297" t="s">
        <v>39</v>
      </c>
      <c r="F297" s="3">
        <v>70000</v>
      </c>
      <c r="G297">
        <v>5</v>
      </c>
      <c r="H297" t="s">
        <v>31</v>
      </c>
      <c r="I297" t="s">
        <v>21</v>
      </c>
      <c r="J297" t="s">
        <v>15</v>
      </c>
      <c r="K297">
        <v>3</v>
      </c>
      <c r="L297" t="s">
        <v>30</v>
      </c>
      <c r="M297" t="s">
        <v>32</v>
      </c>
      <c r="N297">
        <v>46</v>
      </c>
      <c r="O297" t="str" cm="1">
        <f t="array" ref="O297">_xlfn.IFS(N297&gt;=54,"old",N297&gt;=31,"middle age",N297&gt;=18,"adolsent",N297&lt;18,"invalid")</f>
        <v>middle age</v>
      </c>
      <c r="P297" t="s">
        <v>15</v>
      </c>
    </row>
    <row r="298" spans="3:16" x14ac:dyDescent="0.3">
      <c r="C298">
        <v>16151</v>
      </c>
      <c r="D298" t="s">
        <v>36</v>
      </c>
      <c r="E298" t="s">
        <v>39</v>
      </c>
      <c r="F298" s="3">
        <v>60000</v>
      </c>
      <c r="G298">
        <v>1</v>
      </c>
      <c r="H298" t="s">
        <v>13</v>
      </c>
      <c r="I298" t="s">
        <v>21</v>
      </c>
      <c r="J298" t="s">
        <v>15</v>
      </c>
      <c r="K298">
        <v>1</v>
      </c>
      <c r="L298" t="s">
        <v>22</v>
      </c>
      <c r="M298" t="s">
        <v>32</v>
      </c>
      <c r="N298">
        <v>48</v>
      </c>
      <c r="O298" t="str" cm="1">
        <f t="array" ref="O298">_xlfn.IFS(N298&gt;=54,"old",N298&gt;=31,"middle age",N298&gt;=18,"adolsent",N298&lt;18,"invalid")</f>
        <v>middle age</v>
      </c>
      <c r="P298" t="s">
        <v>15</v>
      </c>
    </row>
    <row r="299" spans="3:16" x14ac:dyDescent="0.3">
      <c r="C299">
        <v>16154</v>
      </c>
      <c r="D299" t="s">
        <v>36</v>
      </c>
      <c r="E299" t="s">
        <v>39</v>
      </c>
      <c r="F299" s="3">
        <v>70000</v>
      </c>
      <c r="G299">
        <v>5</v>
      </c>
      <c r="H299" t="s">
        <v>13</v>
      </c>
      <c r="I299" t="s">
        <v>21</v>
      </c>
      <c r="J299" t="s">
        <v>15</v>
      </c>
      <c r="K299">
        <v>2</v>
      </c>
      <c r="L299" t="s">
        <v>22</v>
      </c>
      <c r="M299" t="s">
        <v>32</v>
      </c>
      <c r="N299">
        <v>47</v>
      </c>
      <c r="O299" t="str" cm="1">
        <f t="array" ref="O299">_xlfn.IFS(N299&gt;=54,"old",N299&gt;=31,"middle age",N299&gt;=18,"adolsent",N299&lt;18,"invalid")</f>
        <v>middle age</v>
      </c>
      <c r="P299" t="s">
        <v>18</v>
      </c>
    </row>
    <row r="300" spans="3:16" x14ac:dyDescent="0.3">
      <c r="C300">
        <v>16163</v>
      </c>
      <c r="D300" t="s">
        <v>37</v>
      </c>
      <c r="E300" t="s">
        <v>38</v>
      </c>
      <c r="F300" s="3">
        <v>60000</v>
      </c>
      <c r="G300">
        <v>2</v>
      </c>
      <c r="H300" t="s">
        <v>13</v>
      </c>
      <c r="I300" t="s">
        <v>21</v>
      </c>
      <c r="J300" t="s">
        <v>15</v>
      </c>
      <c r="K300">
        <v>1</v>
      </c>
      <c r="L300" t="s">
        <v>22</v>
      </c>
      <c r="M300" t="s">
        <v>24</v>
      </c>
      <c r="N300">
        <v>38</v>
      </c>
      <c r="O300" t="str" cm="1">
        <f t="array" ref="O300">_xlfn.IFS(N300&gt;=54,"old",N300&gt;=31,"middle age",N300&gt;=18,"adolsent",N300&lt;18,"invalid")</f>
        <v>middle age</v>
      </c>
      <c r="P300" t="s">
        <v>15</v>
      </c>
    </row>
    <row r="301" spans="3:16" x14ac:dyDescent="0.3">
      <c r="C301">
        <v>16179</v>
      </c>
      <c r="D301" t="s">
        <v>37</v>
      </c>
      <c r="E301" t="s">
        <v>39</v>
      </c>
      <c r="F301" s="3">
        <v>80000</v>
      </c>
      <c r="G301">
        <v>5</v>
      </c>
      <c r="H301" t="s">
        <v>13</v>
      </c>
      <c r="I301" t="s">
        <v>21</v>
      </c>
      <c r="J301" t="s">
        <v>15</v>
      </c>
      <c r="K301">
        <v>4</v>
      </c>
      <c r="L301" t="s">
        <v>26</v>
      </c>
      <c r="M301" t="s">
        <v>24</v>
      </c>
      <c r="N301">
        <v>38</v>
      </c>
      <c r="O301" t="str" cm="1">
        <f t="array" ref="O301">_xlfn.IFS(N301&gt;=54,"old",N301&gt;=31,"middle age",N301&gt;=18,"adolsent",N301&lt;18,"invalid")</f>
        <v>middle age</v>
      </c>
      <c r="P301" t="s">
        <v>18</v>
      </c>
    </row>
    <row r="302" spans="3:16" x14ac:dyDescent="0.3">
      <c r="C302">
        <v>16185</v>
      </c>
      <c r="D302" t="s">
        <v>37</v>
      </c>
      <c r="E302" t="s">
        <v>38</v>
      </c>
      <c r="F302" s="3">
        <v>60000</v>
      </c>
      <c r="G302">
        <v>4</v>
      </c>
      <c r="H302" t="s">
        <v>13</v>
      </c>
      <c r="I302" t="s">
        <v>21</v>
      </c>
      <c r="J302" t="s">
        <v>15</v>
      </c>
      <c r="K302">
        <v>3</v>
      </c>
      <c r="L302" t="s">
        <v>30</v>
      </c>
      <c r="M302" t="s">
        <v>24</v>
      </c>
      <c r="N302">
        <v>41</v>
      </c>
      <c r="O302" t="str" cm="1">
        <f t="array" ref="O302">_xlfn.IFS(N302&gt;=54,"old",N302&gt;=31,"middle age",N302&gt;=18,"adolsent",N302&lt;18,"invalid")</f>
        <v>middle age</v>
      </c>
      <c r="P302" t="s">
        <v>18</v>
      </c>
    </row>
    <row r="303" spans="3:16" x14ac:dyDescent="0.3">
      <c r="C303">
        <v>16188</v>
      </c>
      <c r="D303" t="s">
        <v>37</v>
      </c>
      <c r="E303" t="s">
        <v>39</v>
      </c>
      <c r="F303" s="3">
        <v>20000</v>
      </c>
      <c r="G303">
        <v>0</v>
      </c>
      <c r="H303" t="s">
        <v>29</v>
      </c>
      <c r="I303" t="s">
        <v>25</v>
      </c>
      <c r="J303" t="s">
        <v>18</v>
      </c>
      <c r="K303">
        <v>2</v>
      </c>
      <c r="L303" t="s">
        <v>26</v>
      </c>
      <c r="M303" t="s">
        <v>17</v>
      </c>
      <c r="N303">
        <v>26</v>
      </c>
      <c r="O303" t="str" cm="1">
        <f t="array" ref="O303">_xlfn.IFS(N303&gt;=54,"old",N303&gt;=31,"middle age",N303&gt;=18,"adolsent",N303&lt;18,"invalid")</f>
        <v>adolsent</v>
      </c>
      <c r="P303" t="s">
        <v>18</v>
      </c>
    </row>
    <row r="304" spans="3:16" x14ac:dyDescent="0.3">
      <c r="C304">
        <v>16200</v>
      </c>
      <c r="D304" t="s">
        <v>37</v>
      </c>
      <c r="E304" t="s">
        <v>39</v>
      </c>
      <c r="F304" s="3">
        <v>10000</v>
      </c>
      <c r="G304">
        <v>0</v>
      </c>
      <c r="H304" t="s">
        <v>29</v>
      </c>
      <c r="I304" t="s">
        <v>25</v>
      </c>
      <c r="J304" t="s">
        <v>18</v>
      </c>
      <c r="K304">
        <v>2</v>
      </c>
      <c r="L304" t="s">
        <v>16</v>
      </c>
      <c r="M304" t="s">
        <v>17</v>
      </c>
      <c r="N304">
        <v>35</v>
      </c>
      <c r="O304" t="str" cm="1">
        <f t="array" ref="O304">_xlfn.IFS(N304&gt;=54,"old",N304&gt;=31,"middle age",N304&gt;=18,"adolsent",N304&lt;18,"invalid")</f>
        <v>middle age</v>
      </c>
      <c r="P304" t="s">
        <v>18</v>
      </c>
    </row>
    <row r="305" spans="3:16" x14ac:dyDescent="0.3">
      <c r="C305">
        <v>16209</v>
      </c>
      <c r="D305" t="s">
        <v>37</v>
      </c>
      <c r="E305" t="s">
        <v>39</v>
      </c>
      <c r="F305" s="3">
        <v>50000</v>
      </c>
      <c r="G305">
        <v>0</v>
      </c>
      <c r="H305" t="s">
        <v>31</v>
      </c>
      <c r="I305" t="s">
        <v>14</v>
      </c>
      <c r="J305" t="s">
        <v>15</v>
      </c>
      <c r="K305">
        <v>0</v>
      </c>
      <c r="L305" t="s">
        <v>26</v>
      </c>
      <c r="M305" t="s">
        <v>17</v>
      </c>
      <c r="N305">
        <v>36</v>
      </c>
      <c r="O305" t="str" cm="1">
        <f t="array" ref="O305">_xlfn.IFS(N305&gt;=54,"old",N305&gt;=31,"middle age",N305&gt;=18,"adolsent",N305&lt;18,"invalid")</f>
        <v>middle age</v>
      </c>
      <c r="P305" t="s">
        <v>18</v>
      </c>
    </row>
    <row r="306" spans="3:16" x14ac:dyDescent="0.3">
      <c r="C306">
        <v>16217</v>
      </c>
      <c r="D306" t="s">
        <v>37</v>
      </c>
      <c r="E306" t="s">
        <v>39</v>
      </c>
      <c r="F306" s="3">
        <v>60000</v>
      </c>
      <c r="G306">
        <v>0</v>
      </c>
      <c r="H306" t="s">
        <v>31</v>
      </c>
      <c r="I306" t="s">
        <v>14</v>
      </c>
      <c r="J306" t="s">
        <v>15</v>
      </c>
      <c r="K306">
        <v>0</v>
      </c>
      <c r="L306" t="s">
        <v>16</v>
      </c>
      <c r="M306" t="s">
        <v>32</v>
      </c>
      <c r="N306">
        <v>39</v>
      </c>
      <c r="O306" t="str" cm="1">
        <f t="array" ref="O306">_xlfn.IFS(N306&gt;=54,"old",N306&gt;=31,"middle age",N306&gt;=18,"adolsent",N306&lt;18,"invalid")</f>
        <v>middle age</v>
      </c>
      <c r="P306" t="s">
        <v>18</v>
      </c>
    </row>
    <row r="307" spans="3:16" x14ac:dyDescent="0.3">
      <c r="C307">
        <v>16245</v>
      </c>
      <c r="D307" t="s">
        <v>37</v>
      </c>
      <c r="E307" t="s">
        <v>39</v>
      </c>
      <c r="F307" s="3">
        <v>80000</v>
      </c>
      <c r="G307">
        <v>4</v>
      </c>
      <c r="H307" t="s">
        <v>31</v>
      </c>
      <c r="I307" t="s">
        <v>14</v>
      </c>
      <c r="J307" t="s">
        <v>15</v>
      </c>
      <c r="K307">
        <v>0</v>
      </c>
      <c r="L307" t="s">
        <v>26</v>
      </c>
      <c r="M307" t="s">
        <v>32</v>
      </c>
      <c r="N307">
        <v>47</v>
      </c>
      <c r="O307" t="str" cm="1">
        <f t="array" ref="O307">_xlfn.IFS(N307&gt;=54,"old",N307&gt;=31,"middle age",N307&gt;=18,"adolsent",N307&lt;18,"invalid")</f>
        <v>middle age</v>
      </c>
      <c r="P307" t="s">
        <v>18</v>
      </c>
    </row>
    <row r="308" spans="3:16" x14ac:dyDescent="0.3">
      <c r="C308">
        <v>16247</v>
      </c>
      <c r="D308" t="s">
        <v>37</v>
      </c>
      <c r="E308" t="s">
        <v>39</v>
      </c>
      <c r="F308" s="3">
        <v>60000</v>
      </c>
      <c r="G308">
        <v>4</v>
      </c>
      <c r="H308" t="s">
        <v>31</v>
      </c>
      <c r="I308" t="s">
        <v>14</v>
      </c>
      <c r="J308" t="s">
        <v>18</v>
      </c>
      <c r="K308">
        <v>0</v>
      </c>
      <c r="L308" t="s">
        <v>26</v>
      </c>
      <c r="M308" t="s">
        <v>32</v>
      </c>
      <c r="N308">
        <v>47</v>
      </c>
      <c r="O308" t="str" cm="1">
        <f t="array" ref="O308">_xlfn.IFS(N308&gt;=54,"old",N308&gt;=31,"middle age",N308&gt;=18,"adolsent",N308&lt;18,"invalid")</f>
        <v>middle age</v>
      </c>
      <c r="P308" t="s">
        <v>18</v>
      </c>
    </row>
    <row r="309" spans="3:16" x14ac:dyDescent="0.3">
      <c r="C309">
        <v>16259</v>
      </c>
      <c r="D309" t="s">
        <v>37</v>
      </c>
      <c r="E309" t="s">
        <v>39</v>
      </c>
      <c r="F309" s="3">
        <v>10000</v>
      </c>
      <c r="G309">
        <v>4</v>
      </c>
      <c r="H309" t="s">
        <v>29</v>
      </c>
      <c r="I309" t="s">
        <v>25</v>
      </c>
      <c r="J309" t="s">
        <v>15</v>
      </c>
      <c r="K309">
        <v>2</v>
      </c>
      <c r="L309" t="s">
        <v>16</v>
      </c>
      <c r="M309" t="s">
        <v>17</v>
      </c>
      <c r="N309">
        <v>40</v>
      </c>
      <c r="O309" t="str" cm="1">
        <f t="array" ref="O309">_xlfn.IFS(N309&gt;=54,"old",N309&gt;=31,"middle age",N309&gt;=18,"adolsent",N309&lt;18,"invalid")</f>
        <v>middle age</v>
      </c>
      <c r="P309" t="s">
        <v>15</v>
      </c>
    </row>
    <row r="310" spans="3:16" x14ac:dyDescent="0.3">
      <c r="C310">
        <v>16337</v>
      </c>
      <c r="D310" t="s">
        <v>36</v>
      </c>
      <c r="E310" t="s">
        <v>38</v>
      </c>
      <c r="F310" s="3">
        <v>60000</v>
      </c>
      <c r="G310">
        <v>0</v>
      </c>
      <c r="H310" t="s">
        <v>19</v>
      </c>
      <c r="I310" t="s">
        <v>14</v>
      </c>
      <c r="J310" t="s">
        <v>18</v>
      </c>
      <c r="K310">
        <v>2</v>
      </c>
      <c r="L310" t="s">
        <v>26</v>
      </c>
      <c r="M310" t="s">
        <v>32</v>
      </c>
      <c r="N310">
        <v>29</v>
      </c>
      <c r="O310" t="str" cm="1">
        <f t="array" ref="O310">_xlfn.IFS(N310&gt;=54,"old",N310&gt;=31,"middle age",N310&gt;=18,"adolsent",N310&lt;18,"invalid")</f>
        <v>adolsent</v>
      </c>
      <c r="P310" t="s">
        <v>18</v>
      </c>
    </row>
    <row r="311" spans="3:16" x14ac:dyDescent="0.3">
      <c r="C311">
        <v>16377</v>
      </c>
      <c r="D311" t="s">
        <v>37</v>
      </c>
      <c r="E311" t="s">
        <v>39</v>
      </c>
      <c r="F311" s="3">
        <v>80000</v>
      </c>
      <c r="G311">
        <v>4</v>
      </c>
      <c r="H311" t="s">
        <v>31</v>
      </c>
      <c r="I311" t="s">
        <v>14</v>
      </c>
      <c r="J311" t="s">
        <v>18</v>
      </c>
      <c r="K311">
        <v>0</v>
      </c>
      <c r="L311" t="s">
        <v>16</v>
      </c>
      <c r="M311" t="s">
        <v>32</v>
      </c>
      <c r="N311">
        <v>47</v>
      </c>
      <c r="O311" t="str" cm="1">
        <f t="array" ref="O311">_xlfn.IFS(N311&gt;=54,"old",N311&gt;=31,"middle age",N311&gt;=18,"adolsent",N311&lt;18,"invalid")</f>
        <v>middle age</v>
      </c>
      <c r="P311" t="s">
        <v>18</v>
      </c>
    </row>
    <row r="312" spans="3:16" x14ac:dyDescent="0.3">
      <c r="C312">
        <v>16390</v>
      </c>
      <c r="D312" t="s">
        <v>37</v>
      </c>
      <c r="E312" t="s">
        <v>38</v>
      </c>
      <c r="F312" s="3">
        <v>30000</v>
      </c>
      <c r="G312">
        <v>1</v>
      </c>
      <c r="H312" t="s">
        <v>13</v>
      </c>
      <c r="I312" t="s">
        <v>20</v>
      </c>
      <c r="J312" t="s">
        <v>18</v>
      </c>
      <c r="K312">
        <v>0</v>
      </c>
      <c r="L312" t="s">
        <v>16</v>
      </c>
      <c r="M312" t="s">
        <v>17</v>
      </c>
      <c r="N312">
        <v>38</v>
      </c>
      <c r="O312" t="str" cm="1">
        <f t="array" ref="O312">_xlfn.IFS(N312&gt;=54,"old",N312&gt;=31,"middle age",N312&gt;=18,"adolsent",N312&lt;18,"invalid")</f>
        <v>middle age</v>
      </c>
      <c r="P312" t="s">
        <v>15</v>
      </c>
    </row>
    <row r="313" spans="3:16" x14ac:dyDescent="0.3">
      <c r="C313">
        <v>16406</v>
      </c>
      <c r="D313" t="s">
        <v>36</v>
      </c>
      <c r="E313" t="s">
        <v>38</v>
      </c>
      <c r="F313" s="3">
        <v>40000</v>
      </c>
      <c r="G313">
        <v>0</v>
      </c>
      <c r="H313" t="s">
        <v>13</v>
      </c>
      <c r="I313" t="s">
        <v>20</v>
      </c>
      <c r="J313" t="s">
        <v>18</v>
      </c>
      <c r="K313">
        <v>0</v>
      </c>
      <c r="L313" t="s">
        <v>16</v>
      </c>
      <c r="M313" t="s">
        <v>17</v>
      </c>
      <c r="N313">
        <v>38</v>
      </c>
      <c r="O313" t="str" cm="1">
        <f t="array" ref="O313">_xlfn.IFS(N313&gt;=54,"old",N313&gt;=31,"middle age",N313&gt;=18,"adolsent",N313&lt;18,"invalid")</f>
        <v>middle age</v>
      </c>
      <c r="P313" t="s">
        <v>15</v>
      </c>
    </row>
    <row r="314" spans="3:16" x14ac:dyDescent="0.3">
      <c r="C314">
        <v>16410</v>
      </c>
      <c r="D314" t="s">
        <v>37</v>
      </c>
      <c r="E314" t="s">
        <v>39</v>
      </c>
      <c r="F314" s="3">
        <v>10000</v>
      </c>
      <c r="G314">
        <v>4</v>
      </c>
      <c r="H314" t="s">
        <v>29</v>
      </c>
      <c r="I314" t="s">
        <v>25</v>
      </c>
      <c r="J314" t="s">
        <v>15</v>
      </c>
      <c r="K314">
        <v>2</v>
      </c>
      <c r="L314" t="s">
        <v>16</v>
      </c>
      <c r="M314" t="s">
        <v>17</v>
      </c>
      <c r="N314">
        <v>41</v>
      </c>
      <c r="O314" t="str" cm="1">
        <f t="array" ref="O314">_xlfn.IFS(N314&gt;=54,"old",N314&gt;=31,"middle age",N314&gt;=18,"adolsent",N314&lt;18,"invalid")</f>
        <v>middle age</v>
      </c>
      <c r="P314" t="s">
        <v>15</v>
      </c>
    </row>
    <row r="315" spans="3:16" x14ac:dyDescent="0.3">
      <c r="C315">
        <v>16438</v>
      </c>
      <c r="D315" t="s">
        <v>36</v>
      </c>
      <c r="E315" t="s">
        <v>39</v>
      </c>
      <c r="F315" s="3">
        <v>10000</v>
      </c>
      <c r="G315">
        <v>0</v>
      </c>
      <c r="H315" t="s">
        <v>29</v>
      </c>
      <c r="I315" t="s">
        <v>25</v>
      </c>
      <c r="J315" t="s">
        <v>18</v>
      </c>
      <c r="K315">
        <v>2</v>
      </c>
      <c r="L315" t="s">
        <v>16</v>
      </c>
      <c r="M315" t="s">
        <v>17</v>
      </c>
      <c r="N315">
        <v>30</v>
      </c>
      <c r="O315" t="str" cm="1">
        <f t="array" ref="O315">_xlfn.IFS(N315&gt;=54,"old",N315&gt;=31,"middle age",N315&gt;=18,"adolsent",N315&lt;18,"invalid")</f>
        <v>adolsent</v>
      </c>
      <c r="P315" t="s">
        <v>18</v>
      </c>
    </row>
    <row r="316" spans="3:16" x14ac:dyDescent="0.3">
      <c r="C316">
        <v>16466</v>
      </c>
      <c r="D316" t="s">
        <v>37</v>
      </c>
      <c r="E316" t="s">
        <v>39</v>
      </c>
      <c r="F316" s="3">
        <v>20000</v>
      </c>
      <c r="G316">
        <v>0</v>
      </c>
      <c r="H316" t="s">
        <v>29</v>
      </c>
      <c r="I316" t="s">
        <v>25</v>
      </c>
      <c r="J316" t="s">
        <v>18</v>
      </c>
      <c r="K316">
        <v>2</v>
      </c>
      <c r="L316" t="s">
        <v>16</v>
      </c>
      <c r="M316" t="s">
        <v>17</v>
      </c>
      <c r="N316">
        <v>32</v>
      </c>
      <c r="O316" t="str" cm="1">
        <f t="array" ref="O316">_xlfn.IFS(N316&gt;=54,"old",N316&gt;=31,"middle age",N316&gt;=18,"adolsent",N316&lt;18,"invalid")</f>
        <v>middle age</v>
      </c>
      <c r="P316" t="s">
        <v>15</v>
      </c>
    </row>
    <row r="317" spans="3:16" x14ac:dyDescent="0.3">
      <c r="C317">
        <v>16468</v>
      </c>
      <c r="D317" t="s">
        <v>37</v>
      </c>
      <c r="E317" t="s">
        <v>38</v>
      </c>
      <c r="F317" s="3">
        <v>30000</v>
      </c>
      <c r="G317">
        <v>0</v>
      </c>
      <c r="H317" t="s">
        <v>19</v>
      </c>
      <c r="I317" t="s">
        <v>20</v>
      </c>
      <c r="J317" t="s">
        <v>15</v>
      </c>
      <c r="K317">
        <v>1</v>
      </c>
      <c r="L317" t="s">
        <v>22</v>
      </c>
      <c r="M317" t="s">
        <v>17</v>
      </c>
      <c r="N317">
        <v>30</v>
      </c>
      <c r="O317" t="str" cm="1">
        <f t="array" ref="O317">_xlfn.IFS(N317&gt;=54,"old",N317&gt;=31,"middle age",N317&gt;=18,"adolsent",N317&lt;18,"invalid")</f>
        <v>adolsent</v>
      </c>
      <c r="P317" t="s">
        <v>18</v>
      </c>
    </row>
    <row r="318" spans="3:16" x14ac:dyDescent="0.3">
      <c r="C318">
        <v>16487</v>
      </c>
      <c r="D318" t="s">
        <v>37</v>
      </c>
      <c r="E318" t="s">
        <v>39</v>
      </c>
      <c r="F318" s="3">
        <v>30000</v>
      </c>
      <c r="G318">
        <v>3</v>
      </c>
      <c r="H318" t="s">
        <v>27</v>
      </c>
      <c r="I318" t="s">
        <v>14</v>
      </c>
      <c r="J318" t="s">
        <v>15</v>
      </c>
      <c r="K318">
        <v>2</v>
      </c>
      <c r="L318" t="s">
        <v>23</v>
      </c>
      <c r="M318" t="s">
        <v>24</v>
      </c>
      <c r="N318">
        <v>55</v>
      </c>
      <c r="O318" t="str" cm="1">
        <f t="array" ref="O318">_xlfn.IFS(N318&gt;=54,"old",N318&gt;=31,"middle age",N318&gt;=18,"adolsent",N318&lt;18,"invalid")</f>
        <v>old</v>
      </c>
      <c r="P318" t="s">
        <v>18</v>
      </c>
    </row>
    <row r="319" spans="3:16" x14ac:dyDescent="0.3">
      <c r="C319">
        <v>16489</v>
      </c>
      <c r="D319" t="s">
        <v>36</v>
      </c>
      <c r="E319" t="s">
        <v>38</v>
      </c>
      <c r="F319" s="3">
        <v>30000</v>
      </c>
      <c r="G319">
        <v>3</v>
      </c>
      <c r="H319" t="s">
        <v>27</v>
      </c>
      <c r="I319" t="s">
        <v>14</v>
      </c>
      <c r="J319" t="s">
        <v>15</v>
      </c>
      <c r="K319">
        <v>2</v>
      </c>
      <c r="L319" t="s">
        <v>23</v>
      </c>
      <c r="M319" t="s">
        <v>24</v>
      </c>
      <c r="N319">
        <v>55</v>
      </c>
      <c r="O319" t="str" cm="1">
        <f t="array" ref="O319">_xlfn.IFS(N319&gt;=54,"old",N319&gt;=31,"middle age",N319&gt;=18,"adolsent",N319&lt;18,"invalid")</f>
        <v>old</v>
      </c>
      <c r="P319" t="s">
        <v>18</v>
      </c>
    </row>
    <row r="320" spans="3:16" x14ac:dyDescent="0.3">
      <c r="C320">
        <v>16514</v>
      </c>
      <c r="D320" t="s">
        <v>37</v>
      </c>
      <c r="E320" t="s">
        <v>38</v>
      </c>
      <c r="F320" s="3">
        <v>10000</v>
      </c>
      <c r="G320">
        <v>0</v>
      </c>
      <c r="H320" t="s">
        <v>19</v>
      </c>
      <c r="I320" t="s">
        <v>25</v>
      </c>
      <c r="J320" t="s">
        <v>15</v>
      </c>
      <c r="K320">
        <v>1</v>
      </c>
      <c r="L320" t="s">
        <v>26</v>
      </c>
      <c r="M320" t="s">
        <v>24</v>
      </c>
      <c r="N320">
        <v>26</v>
      </c>
      <c r="O320" t="str" cm="1">
        <f t="array" ref="O320">_xlfn.IFS(N320&gt;=54,"old",N320&gt;=31,"middle age",N320&gt;=18,"adolsent",N320&lt;18,"invalid")</f>
        <v>adolsent</v>
      </c>
      <c r="P320" t="s">
        <v>15</v>
      </c>
    </row>
    <row r="321" spans="3:16" x14ac:dyDescent="0.3">
      <c r="C321">
        <v>16549</v>
      </c>
      <c r="D321" t="s">
        <v>37</v>
      </c>
      <c r="E321" t="s">
        <v>39</v>
      </c>
      <c r="F321" s="3">
        <v>30000</v>
      </c>
      <c r="G321">
        <v>3</v>
      </c>
      <c r="H321" t="s">
        <v>13</v>
      </c>
      <c r="I321" t="s">
        <v>20</v>
      </c>
      <c r="J321" t="s">
        <v>15</v>
      </c>
      <c r="K321">
        <v>0</v>
      </c>
      <c r="L321" t="s">
        <v>16</v>
      </c>
      <c r="M321" t="s">
        <v>17</v>
      </c>
      <c r="N321">
        <v>47</v>
      </c>
      <c r="O321" t="str" cm="1">
        <f t="array" ref="O321">_xlfn.IFS(N321&gt;=54,"old",N321&gt;=31,"middle age",N321&gt;=18,"adolsent",N321&lt;18,"invalid")</f>
        <v>middle age</v>
      </c>
      <c r="P321" t="s">
        <v>15</v>
      </c>
    </row>
    <row r="322" spans="3:16" x14ac:dyDescent="0.3">
      <c r="C322">
        <v>16559</v>
      </c>
      <c r="D322" t="s">
        <v>37</v>
      </c>
      <c r="E322" t="s">
        <v>39</v>
      </c>
      <c r="F322" s="3">
        <v>10000</v>
      </c>
      <c r="G322">
        <v>2</v>
      </c>
      <c r="H322" t="s">
        <v>27</v>
      </c>
      <c r="I322" t="s">
        <v>25</v>
      </c>
      <c r="J322" t="s">
        <v>15</v>
      </c>
      <c r="K322">
        <v>0</v>
      </c>
      <c r="L322" t="s">
        <v>16</v>
      </c>
      <c r="M322" t="s">
        <v>17</v>
      </c>
      <c r="N322">
        <v>36</v>
      </c>
      <c r="O322" t="str" cm="1">
        <f t="array" ref="O322">_xlfn.IFS(N322&gt;=54,"old",N322&gt;=31,"middle age",N322&gt;=18,"adolsent",N322&lt;18,"invalid")</f>
        <v>middle age</v>
      </c>
      <c r="P322" t="s">
        <v>15</v>
      </c>
    </row>
    <row r="323" spans="3:16" x14ac:dyDescent="0.3">
      <c r="C323">
        <v>16614</v>
      </c>
      <c r="D323" t="s">
        <v>36</v>
      </c>
      <c r="E323" t="s">
        <v>39</v>
      </c>
      <c r="F323" s="3">
        <v>80000</v>
      </c>
      <c r="G323">
        <v>0</v>
      </c>
      <c r="H323" t="s">
        <v>13</v>
      </c>
      <c r="I323" t="s">
        <v>21</v>
      </c>
      <c r="J323" t="s">
        <v>15</v>
      </c>
      <c r="K323">
        <v>3</v>
      </c>
      <c r="L323" t="s">
        <v>30</v>
      </c>
      <c r="M323" t="s">
        <v>24</v>
      </c>
      <c r="N323">
        <v>32</v>
      </c>
      <c r="O323" t="str" cm="1">
        <f t="array" ref="O323">_xlfn.IFS(N323&gt;=54,"old",N323&gt;=31,"middle age",N323&gt;=18,"adolsent",N323&lt;18,"invalid")</f>
        <v>middle age</v>
      </c>
      <c r="P323" t="s">
        <v>18</v>
      </c>
    </row>
    <row r="324" spans="3:16" x14ac:dyDescent="0.3">
      <c r="C324">
        <v>16651</v>
      </c>
      <c r="D324" t="s">
        <v>36</v>
      </c>
      <c r="E324" t="s">
        <v>39</v>
      </c>
      <c r="F324" s="3">
        <v>120000</v>
      </c>
      <c r="G324">
        <v>2</v>
      </c>
      <c r="H324" t="s">
        <v>13</v>
      </c>
      <c r="I324" t="s">
        <v>28</v>
      </c>
      <c r="J324" t="s">
        <v>15</v>
      </c>
      <c r="K324">
        <v>3</v>
      </c>
      <c r="L324" t="s">
        <v>23</v>
      </c>
      <c r="M324" t="s">
        <v>32</v>
      </c>
      <c r="N324">
        <v>62</v>
      </c>
      <c r="O324" t="str" cm="1">
        <f t="array" ref="O324">_xlfn.IFS(N324&gt;=54,"old",N324&gt;=31,"middle age",N324&gt;=18,"adolsent",N324&lt;18,"invalid")</f>
        <v>old</v>
      </c>
      <c r="P324" t="s">
        <v>18</v>
      </c>
    </row>
    <row r="325" spans="3:16" x14ac:dyDescent="0.3">
      <c r="C325">
        <v>16675</v>
      </c>
      <c r="D325" t="s">
        <v>37</v>
      </c>
      <c r="E325" t="s">
        <v>39</v>
      </c>
      <c r="F325" s="3">
        <v>160000</v>
      </c>
      <c r="G325">
        <v>0</v>
      </c>
      <c r="H325" t="s">
        <v>31</v>
      </c>
      <c r="I325" t="s">
        <v>28</v>
      </c>
      <c r="J325" t="s">
        <v>18</v>
      </c>
      <c r="K325">
        <v>3</v>
      </c>
      <c r="L325" t="s">
        <v>16</v>
      </c>
      <c r="M325" t="s">
        <v>24</v>
      </c>
      <c r="N325">
        <v>47</v>
      </c>
      <c r="O325" t="str" cm="1">
        <f t="array" ref="O325">_xlfn.IFS(N325&gt;=54,"old",N325&gt;=31,"middle age",N325&gt;=18,"adolsent",N325&lt;18,"invalid")</f>
        <v>middle age</v>
      </c>
      <c r="P325" t="s">
        <v>15</v>
      </c>
    </row>
    <row r="326" spans="3:16" x14ac:dyDescent="0.3">
      <c r="C326">
        <v>16713</v>
      </c>
      <c r="D326" t="s">
        <v>36</v>
      </c>
      <c r="E326" t="s">
        <v>38</v>
      </c>
      <c r="F326" s="3">
        <v>40000</v>
      </c>
      <c r="G326">
        <v>2</v>
      </c>
      <c r="H326" t="s">
        <v>13</v>
      </c>
      <c r="I326" t="s">
        <v>28</v>
      </c>
      <c r="J326" t="s">
        <v>15</v>
      </c>
      <c r="K326">
        <v>1</v>
      </c>
      <c r="L326" t="s">
        <v>16</v>
      </c>
      <c r="M326" t="s">
        <v>24</v>
      </c>
      <c r="N326">
        <v>52</v>
      </c>
      <c r="O326" t="str" cm="1">
        <f t="array" ref="O326">_xlfn.IFS(N326&gt;=54,"old",N326&gt;=31,"middle age",N326&gt;=18,"adolsent",N326&lt;18,"invalid")</f>
        <v>middle age</v>
      </c>
      <c r="P326" t="s">
        <v>15</v>
      </c>
    </row>
    <row r="327" spans="3:16" x14ac:dyDescent="0.3">
      <c r="C327">
        <v>16725</v>
      </c>
      <c r="D327" t="s">
        <v>36</v>
      </c>
      <c r="E327" t="s">
        <v>38</v>
      </c>
      <c r="F327" s="3">
        <v>30000</v>
      </c>
      <c r="G327">
        <v>0</v>
      </c>
      <c r="H327" t="s">
        <v>27</v>
      </c>
      <c r="I327" t="s">
        <v>14</v>
      </c>
      <c r="J327" t="s">
        <v>15</v>
      </c>
      <c r="K327">
        <v>2</v>
      </c>
      <c r="L327" t="s">
        <v>23</v>
      </c>
      <c r="M327" t="s">
        <v>32</v>
      </c>
      <c r="N327">
        <v>26</v>
      </c>
      <c r="O327" t="str" cm="1">
        <f t="array" ref="O327">_xlfn.IFS(N327&gt;=54,"old",N327&gt;=31,"middle age",N327&gt;=18,"adolsent",N327&lt;18,"invalid")</f>
        <v>adolsent</v>
      </c>
      <c r="P327" t="s">
        <v>18</v>
      </c>
    </row>
    <row r="328" spans="3:16" x14ac:dyDescent="0.3">
      <c r="C328">
        <v>16751</v>
      </c>
      <c r="D328" t="s">
        <v>36</v>
      </c>
      <c r="E328" t="s">
        <v>38</v>
      </c>
      <c r="F328" s="3">
        <v>60000</v>
      </c>
      <c r="G328">
        <v>0</v>
      </c>
      <c r="H328" t="s">
        <v>19</v>
      </c>
      <c r="I328" t="s">
        <v>14</v>
      </c>
      <c r="J328" t="s">
        <v>15</v>
      </c>
      <c r="K328">
        <v>1</v>
      </c>
      <c r="L328" t="s">
        <v>23</v>
      </c>
      <c r="M328" t="s">
        <v>32</v>
      </c>
      <c r="N328">
        <v>32</v>
      </c>
      <c r="O328" t="str" cm="1">
        <f t="array" ref="O328">_xlfn.IFS(N328&gt;=54,"old",N328&gt;=31,"middle age",N328&gt;=18,"adolsent",N328&lt;18,"invalid")</f>
        <v>middle age</v>
      </c>
      <c r="P328" t="s">
        <v>15</v>
      </c>
    </row>
    <row r="329" spans="3:16" x14ac:dyDescent="0.3">
      <c r="C329">
        <v>16753</v>
      </c>
      <c r="D329" t="s">
        <v>37</v>
      </c>
      <c r="E329" t="s">
        <v>39</v>
      </c>
      <c r="F329" s="3">
        <v>70000</v>
      </c>
      <c r="G329">
        <v>0</v>
      </c>
      <c r="H329" t="s">
        <v>19</v>
      </c>
      <c r="I329" t="s">
        <v>14</v>
      </c>
      <c r="J329" t="s">
        <v>15</v>
      </c>
      <c r="K329">
        <v>2</v>
      </c>
      <c r="L329" t="s">
        <v>23</v>
      </c>
      <c r="M329" t="s">
        <v>32</v>
      </c>
      <c r="N329">
        <v>34</v>
      </c>
      <c r="O329" t="str" cm="1">
        <f t="array" ref="O329">_xlfn.IFS(N329&gt;=54,"old",N329&gt;=31,"middle age",N329&gt;=18,"adolsent",N329&lt;18,"invalid")</f>
        <v>middle age</v>
      </c>
      <c r="P329" t="s">
        <v>15</v>
      </c>
    </row>
    <row r="330" spans="3:16" x14ac:dyDescent="0.3">
      <c r="C330">
        <v>16773</v>
      </c>
      <c r="D330" t="s">
        <v>36</v>
      </c>
      <c r="E330" t="s">
        <v>38</v>
      </c>
      <c r="F330" s="3">
        <v>60000</v>
      </c>
      <c r="G330">
        <v>1</v>
      </c>
      <c r="H330" t="s">
        <v>31</v>
      </c>
      <c r="I330" t="s">
        <v>14</v>
      </c>
      <c r="J330" t="s">
        <v>15</v>
      </c>
      <c r="K330">
        <v>0</v>
      </c>
      <c r="L330" t="s">
        <v>16</v>
      </c>
      <c r="M330" t="s">
        <v>32</v>
      </c>
      <c r="N330">
        <v>33</v>
      </c>
      <c r="O330" t="str" cm="1">
        <f t="array" ref="O330">_xlfn.IFS(N330&gt;=54,"old",N330&gt;=31,"middle age",N330&gt;=18,"adolsent",N330&lt;18,"invalid")</f>
        <v>middle age</v>
      </c>
      <c r="P330" t="s">
        <v>18</v>
      </c>
    </row>
    <row r="331" spans="3:16" x14ac:dyDescent="0.3">
      <c r="C331">
        <v>16791</v>
      </c>
      <c r="D331" t="s">
        <v>37</v>
      </c>
      <c r="E331" t="s">
        <v>38</v>
      </c>
      <c r="F331" s="3">
        <v>60000</v>
      </c>
      <c r="G331">
        <v>5</v>
      </c>
      <c r="H331" t="s">
        <v>13</v>
      </c>
      <c r="I331" t="s">
        <v>28</v>
      </c>
      <c r="J331" t="s">
        <v>15</v>
      </c>
      <c r="K331">
        <v>3</v>
      </c>
      <c r="L331" t="s">
        <v>30</v>
      </c>
      <c r="M331" t="s">
        <v>32</v>
      </c>
      <c r="N331">
        <v>59</v>
      </c>
      <c r="O331" t="str" cm="1">
        <f t="array" ref="O331">_xlfn.IFS(N331&gt;=54,"old",N331&gt;=31,"middle age",N331&gt;=18,"adolsent",N331&lt;18,"invalid")</f>
        <v>old</v>
      </c>
      <c r="P331" t="s">
        <v>15</v>
      </c>
    </row>
    <row r="332" spans="3:16" x14ac:dyDescent="0.3">
      <c r="C332">
        <v>16795</v>
      </c>
      <c r="D332" t="s">
        <v>36</v>
      </c>
      <c r="E332" t="s">
        <v>39</v>
      </c>
      <c r="F332" s="3">
        <v>70000</v>
      </c>
      <c r="G332">
        <v>4</v>
      </c>
      <c r="H332" t="s">
        <v>13</v>
      </c>
      <c r="I332" t="s">
        <v>28</v>
      </c>
      <c r="J332" t="s">
        <v>15</v>
      </c>
      <c r="K332">
        <v>1</v>
      </c>
      <c r="L332" t="s">
        <v>26</v>
      </c>
      <c r="M332" t="s">
        <v>32</v>
      </c>
      <c r="N332">
        <v>59</v>
      </c>
      <c r="O332" t="str" cm="1">
        <f t="array" ref="O332">_xlfn.IFS(N332&gt;=54,"old",N332&gt;=31,"middle age",N332&gt;=18,"adolsent",N332&lt;18,"invalid")</f>
        <v>old</v>
      </c>
      <c r="P332" t="s">
        <v>18</v>
      </c>
    </row>
    <row r="333" spans="3:16" x14ac:dyDescent="0.3">
      <c r="C333">
        <v>16813</v>
      </c>
      <c r="D333" t="s">
        <v>36</v>
      </c>
      <c r="E333" t="s">
        <v>38</v>
      </c>
      <c r="F333" s="3">
        <v>60000</v>
      </c>
      <c r="G333">
        <v>2</v>
      </c>
      <c r="H333" t="s">
        <v>19</v>
      </c>
      <c r="I333" t="s">
        <v>21</v>
      </c>
      <c r="J333" t="s">
        <v>15</v>
      </c>
      <c r="K333">
        <v>2</v>
      </c>
      <c r="L333" t="s">
        <v>30</v>
      </c>
      <c r="M333" t="s">
        <v>32</v>
      </c>
      <c r="N333">
        <v>55</v>
      </c>
      <c r="O333" t="str" cm="1">
        <f t="array" ref="O333">_xlfn.IFS(N333&gt;=54,"old",N333&gt;=31,"middle age",N333&gt;=18,"adolsent",N333&lt;18,"invalid")</f>
        <v>old</v>
      </c>
      <c r="P333" t="s">
        <v>18</v>
      </c>
    </row>
    <row r="334" spans="3:16" x14ac:dyDescent="0.3">
      <c r="C334">
        <v>16867</v>
      </c>
      <c r="D334" t="s">
        <v>37</v>
      </c>
      <c r="E334" t="s">
        <v>39</v>
      </c>
      <c r="F334" s="3">
        <v>130000</v>
      </c>
      <c r="G334">
        <v>1</v>
      </c>
      <c r="H334" t="s">
        <v>13</v>
      </c>
      <c r="I334" t="s">
        <v>28</v>
      </c>
      <c r="J334" t="s">
        <v>18</v>
      </c>
      <c r="K334">
        <v>3</v>
      </c>
      <c r="L334" t="s">
        <v>16</v>
      </c>
      <c r="M334" t="s">
        <v>32</v>
      </c>
      <c r="N334">
        <v>45</v>
      </c>
      <c r="O334" t="str" cm="1">
        <f t="array" ref="O334">_xlfn.IFS(N334&gt;=54,"old",N334&gt;=31,"middle age",N334&gt;=18,"adolsent",N334&lt;18,"invalid")</f>
        <v>middle age</v>
      </c>
      <c r="P334" t="s">
        <v>15</v>
      </c>
    </row>
    <row r="335" spans="3:16" x14ac:dyDescent="0.3">
      <c r="C335">
        <v>16871</v>
      </c>
      <c r="D335" t="s">
        <v>36</v>
      </c>
      <c r="E335" t="s">
        <v>39</v>
      </c>
      <c r="F335" s="3">
        <v>90000</v>
      </c>
      <c r="G335">
        <v>2</v>
      </c>
      <c r="H335" t="s">
        <v>27</v>
      </c>
      <c r="I335" t="s">
        <v>21</v>
      </c>
      <c r="J335" t="s">
        <v>15</v>
      </c>
      <c r="K335">
        <v>1</v>
      </c>
      <c r="L335" t="s">
        <v>30</v>
      </c>
      <c r="M335" t="s">
        <v>32</v>
      </c>
      <c r="N335">
        <v>51</v>
      </c>
      <c r="O335" t="str" cm="1">
        <f t="array" ref="O335">_xlfn.IFS(N335&gt;=54,"old",N335&gt;=31,"middle age",N335&gt;=18,"adolsent",N335&lt;18,"invalid")</f>
        <v>middle age</v>
      </c>
      <c r="P335" t="s">
        <v>15</v>
      </c>
    </row>
    <row r="336" spans="3:16" x14ac:dyDescent="0.3">
      <c r="C336">
        <v>16890</v>
      </c>
      <c r="D336" t="s">
        <v>36</v>
      </c>
      <c r="E336" t="s">
        <v>38</v>
      </c>
      <c r="F336" s="3">
        <v>60000</v>
      </c>
      <c r="G336">
        <v>3</v>
      </c>
      <c r="H336" t="s">
        <v>29</v>
      </c>
      <c r="I336" t="s">
        <v>14</v>
      </c>
      <c r="J336" t="s">
        <v>15</v>
      </c>
      <c r="K336">
        <v>2</v>
      </c>
      <c r="L336" t="s">
        <v>23</v>
      </c>
      <c r="M336" t="s">
        <v>32</v>
      </c>
      <c r="N336">
        <v>52</v>
      </c>
      <c r="O336" t="str" cm="1">
        <f t="array" ref="O336">_xlfn.IFS(N336&gt;=54,"old",N336&gt;=31,"middle age",N336&gt;=18,"adolsent",N336&lt;18,"invalid")</f>
        <v>middle age</v>
      </c>
      <c r="P336" t="s">
        <v>15</v>
      </c>
    </row>
    <row r="337" spans="3:16" x14ac:dyDescent="0.3">
      <c r="C337">
        <v>16895</v>
      </c>
      <c r="D337" t="s">
        <v>36</v>
      </c>
      <c r="E337" t="s">
        <v>39</v>
      </c>
      <c r="F337" s="3">
        <v>40000</v>
      </c>
      <c r="G337">
        <v>3</v>
      </c>
      <c r="H337" t="s">
        <v>19</v>
      </c>
      <c r="I337" t="s">
        <v>21</v>
      </c>
      <c r="J337" t="s">
        <v>18</v>
      </c>
      <c r="K337">
        <v>2</v>
      </c>
      <c r="L337" t="s">
        <v>26</v>
      </c>
      <c r="M337" t="s">
        <v>32</v>
      </c>
      <c r="N337">
        <v>54</v>
      </c>
      <c r="O337" t="str" cm="1">
        <f t="array" ref="O337">_xlfn.IFS(N337&gt;=54,"old",N337&gt;=31,"middle age",N337&gt;=18,"adolsent",N337&lt;18,"invalid")</f>
        <v>old</v>
      </c>
      <c r="P337" t="s">
        <v>15</v>
      </c>
    </row>
    <row r="338" spans="3:16" x14ac:dyDescent="0.3">
      <c r="C338">
        <v>16917</v>
      </c>
      <c r="D338" t="s">
        <v>36</v>
      </c>
      <c r="E338" t="s">
        <v>38</v>
      </c>
      <c r="F338" s="3">
        <v>120000</v>
      </c>
      <c r="G338">
        <v>1</v>
      </c>
      <c r="H338" t="s">
        <v>13</v>
      </c>
      <c r="I338" t="s">
        <v>28</v>
      </c>
      <c r="J338" t="s">
        <v>15</v>
      </c>
      <c r="K338">
        <v>4</v>
      </c>
      <c r="L338" t="s">
        <v>16</v>
      </c>
      <c r="M338" t="s">
        <v>32</v>
      </c>
      <c r="N338">
        <v>38</v>
      </c>
      <c r="O338" t="str" cm="1">
        <f t="array" ref="O338">_xlfn.IFS(N338&gt;=54,"old",N338&gt;=31,"middle age",N338&gt;=18,"adolsent",N338&lt;18,"invalid")</f>
        <v>middle age</v>
      </c>
      <c r="P338" t="s">
        <v>18</v>
      </c>
    </row>
    <row r="339" spans="3:16" x14ac:dyDescent="0.3">
      <c r="C339">
        <v>17000</v>
      </c>
      <c r="D339" t="s">
        <v>37</v>
      </c>
      <c r="E339" t="s">
        <v>39</v>
      </c>
      <c r="F339" s="3">
        <v>70000</v>
      </c>
      <c r="G339">
        <v>4</v>
      </c>
      <c r="H339" t="s">
        <v>13</v>
      </c>
      <c r="I339" t="s">
        <v>14</v>
      </c>
      <c r="J339" t="s">
        <v>15</v>
      </c>
      <c r="K339">
        <v>2</v>
      </c>
      <c r="L339" t="s">
        <v>22</v>
      </c>
      <c r="M339" t="s">
        <v>32</v>
      </c>
      <c r="N339">
        <v>43</v>
      </c>
      <c r="O339" t="str" cm="1">
        <f t="array" ref="O339">_xlfn.IFS(N339&gt;=54,"old",N339&gt;=31,"middle age",N339&gt;=18,"adolsent",N339&lt;18,"invalid")</f>
        <v>middle age</v>
      </c>
      <c r="P339" t="s">
        <v>15</v>
      </c>
    </row>
    <row r="340" spans="3:16" x14ac:dyDescent="0.3">
      <c r="C340">
        <v>17012</v>
      </c>
      <c r="D340" t="s">
        <v>36</v>
      </c>
      <c r="E340" t="s">
        <v>39</v>
      </c>
      <c r="F340" s="3">
        <v>60000</v>
      </c>
      <c r="G340">
        <v>3</v>
      </c>
      <c r="H340" t="s">
        <v>31</v>
      </c>
      <c r="I340" t="s">
        <v>21</v>
      </c>
      <c r="J340" t="s">
        <v>15</v>
      </c>
      <c r="K340">
        <v>0</v>
      </c>
      <c r="L340" t="s">
        <v>22</v>
      </c>
      <c r="M340" t="s">
        <v>32</v>
      </c>
      <c r="N340">
        <v>42</v>
      </c>
      <c r="O340" t="str" cm="1">
        <f t="array" ref="O340">_xlfn.IFS(N340&gt;=54,"old",N340&gt;=31,"middle age",N340&gt;=18,"adolsent",N340&lt;18,"invalid")</f>
        <v>middle age</v>
      </c>
      <c r="P340" t="s">
        <v>15</v>
      </c>
    </row>
    <row r="341" spans="3:16" x14ac:dyDescent="0.3">
      <c r="C341">
        <v>17025</v>
      </c>
      <c r="D341" t="s">
        <v>37</v>
      </c>
      <c r="E341" t="s">
        <v>38</v>
      </c>
      <c r="F341" s="3">
        <v>50000</v>
      </c>
      <c r="G341">
        <v>0</v>
      </c>
      <c r="H341" t="s">
        <v>19</v>
      </c>
      <c r="I341" t="s">
        <v>14</v>
      </c>
      <c r="J341" t="s">
        <v>18</v>
      </c>
      <c r="K341">
        <v>1</v>
      </c>
      <c r="L341" t="s">
        <v>22</v>
      </c>
      <c r="M341" t="s">
        <v>32</v>
      </c>
      <c r="N341">
        <v>39</v>
      </c>
      <c r="O341" t="str" cm="1">
        <f t="array" ref="O341">_xlfn.IFS(N341&gt;=54,"old",N341&gt;=31,"middle age",N341&gt;=18,"adolsent",N341&lt;18,"invalid")</f>
        <v>middle age</v>
      </c>
      <c r="P341" t="s">
        <v>15</v>
      </c>
    </row>
    <row r="342" spans="3:16" x14ac:dyDescent="0.3">
      <c r="C342">
        <v>17048</v>
      </c>
      <c r="D342" t="s">
        <v>37</v>
      </c>
      <c r="E342" t="s">
        <v>39</v>
      </c>
      <c r="F342" s="3">
        <v>90000</v>
      </c>
      <c r="G342">
        <v>1</v>
      </c>
      <c r="H342" t="s">
        <v>31</v>
      </c>
      <c r="I342" t="s">
        <v>28</v>
      </c>
      <c r="J342" t="s">
        <v>15</v>
      </c>
      <c r="K342">
        <v>0</v>
      </c>
      <c r="L342" t="s">
        <v>16</v>
      </c>
      <c r="M342" t="s">
        <v>24</v>
      </c>
      <c r="N342">
        <v>36</v>
      </c>
      <c r="O342" t="str" cm="1">
        <f t="array" ref="O342">_xlfn.IFS(N342&gt;=54,"old",N342&gt;=31,"middle age",N342&gt;=18,"adolsent",N342&lt;18,"invalid")</f>
        <v>middle age</v>
      </c>
      <c r="P342" t="s">
        <v>15</v>
      </c>
    </row>
    <row r="343" spans="3:16" x14ac:dyDescent="0.3">
      <c r="C343">
        <v>17185</v>
      </c>
      <c r="D343" t="s">
        <v>36</v>
      </c>
      <c r="E343" t="s">
        <v>39</v>
      </c>
      <c r="F343" s="3">
        <v>170000</v>
      </c>
      <c r="G343">
        <v>4</v>
      </c>
      <c r="H343" t="s">
        <v>19</v>
      </c>
      <c r="I343" t="s">
        <v>21</v>
      </c>
      <c r="J343" t="s">
        <v>18</v>
      </c>
      <c r="K343">
        <v>3</v>
      </c>
      <c r="L343" t="s">
        <v>23</v>
      </c>
      <c r="M343" t="s">
        <v>17</v>
      </c>
      <c r="N343">
        <v>48</v>
      </c>
      <c r="O343" t="str" cm="1">
        <f t="array" ref="O343">_xlfn.IFS(N343&gt;=54,"old",N343&gt;=31,"middle age",N343&gt;=18,"adolsent",N343&lt;18,"invalid")</f>
        <v>middle age</v>
      </c>
      <c r="P343" t="s">
        <v>15</v>
      </c>
    </row>
    <row r="344" spans="3:16" x14ac:dyDescent="0.3">
      <c r="C344">
        <v>17191</v>
      </c>
      <c r="D344" t="s">
        <v>37</v>
      </c>
      <c r="E344" t="s">
        <v>38</v>
      </c>
      <c r="F344" s="3">
        <v>130000</v>
      </c>
      <c r="G344">
        <v>3</v>
      </c>
      <c r="H344" t="s">
        <v>19</v>
      </c>
      <c r="I344" t="s">
        <v>21</v>
      </c>
      <c r="J344" t="s">
        <v>18</v>
      </c>
      <c r="K344">
        <v>3</v>
      </c>
      <c r="L344" t="s">
        <v>16</v>
      </c>
      <c r="M344" t="s">
        <v>17</v>
      </c>
      <c r="N344">
        <v>51</v>
      </c>
      <c r="O344" t="str" cm="1">
        <f t="array" ref="O344">_xlfn.IFS(N344&gt;=54,"old",N344&gt;=31,"middle age",N344&gt;=18,"adolsent",N344&lt;18,"invalid")</f>
        <v>middle age</v>
      </c>
      <c r="P344" t="s">
        <v>15</v>
      </c>
    </row>
    <row r="345" spans="3:16" x14ac:dyDescent="0.3">
      <c r="C345">
        <v>17197</v>
      </c>
      <c r="D345" t="s">
        <v>37</v>
      </c>
      <c r="E345" t="s">
        <v>39</v>
      </c>
      <c r="F345" s="3">
        <v>90000</v>
      </c>
      <c r="G345">
        <v>5</v>
      </c>
      <c r="H345" t="s">
        <v>19</v>
      </c>
      <c r="I345" t="s">
        <v>21</v>
      </c>
      <c r="J345" t="s">
        <v>15</v>
      </c>
      <c r="K345">
        <v>2</v>
      </c>
      <c r="L345" t="s">
        <v>30</v>
      </c>
      <c r="M345" t="s">
        <v>17</v>
      </c>
      <c r="N345">
        <v>62</v>
      </c>
      <c r="O345" t="str" cm="1">
        <f t="array" ref="O345">_xlfn.IFS(N345&gt;=54,"old",N345&gt;=31,"middle age",N345&gt;=18,"adolsent",N345&lt;18,"invalid")</f>
        <v>old</v>
      </c>
      <c r="P345" t="s">
        <v>18</v>
      </c>
    </row>
    <row r="346" spans="3:16" x14ac:dyDescent="0.3">
      <c r="C346">
        <v>17203</v>
      </c>
      <c r="D346" t="s">
        <v>36</v>
      </c>
      <c r="E346" t="s">
        <v>39</v>
      </c>
      <c r="F346" s="3">
        <v>130000</v>
      </c>
      <c r="G346">
        <v>4</v>
      </c>
      <c r="H346" t="s">
        <v>19</v>
      </c>
      <c r="I346" t="s">
        <v>21</v>
      </c>
      <c r="J346" t="s">
        <v>15</v>
      </c>
      <c r="K346">
        <v>4</v>
      </c>
      <c r="L346" t="s">
        <v>23</v>
      </c>
      <c r="M346" t="s">
        <v>17</v>
      </c>
      <c r="N346">
        <v>61</v>
      </c>
      <c r="O346" t="str" cm="1">
        <f t="array" ref="O346">_xlfn.IFS(N346&gt;=54,"old",N346&gt;=31,"middle age",N346&gt;=18,"adolsent",N346&lt;18,"invalid")</f>
        <v>old</v>
      </c>
      <c r="P346" t="s">
        <v>15</v>
      </c>
    </row>
    <row r="347" spans="3:16" x14ac:dyDescent="0.3">
      <c r="C347">
        <v>17230</v>
      </c>
      <c r="D347" t="s">
        <v>36</v>
      </c>
      <c r="E347" t="s">
        <v>38</v>
      </c>
      <c r="F347" s="3">
        <v>80000</v>
      </c>
      <c r="G347">
        <v>0</v>
      </c>
      <c r="H347" t="s">
        <v>13</v>
      </c>
      <c r="I347" t="s">
        <v>21</v>
      </c>
      <c r="J347" t="s">
        <v>15</v>
      </c>
      <c r="K347">
        <v>3</v>
      </c>
      <c r="L347" t="s">
        <v>30</v>
      </c>
      <c r="M347" t="s">
        <v>24</v>
      </c>
      <c r="N347">
        <v>30</v>
      </c>
      <c r="O347" t="str" cm="1">
        <f t="array" ref="O347">_xlfn.IFS(N347&gt;=54,"old",N347&gt;=31,"middle age",N347&gt;=18,"adolsent",N347&lt;18,"invalid")</f>
        <v>adolsent</v>
      </c>
      <c r="P347" t="s">
        <v>18</v>
      </c>
    </row>
    <row r="348" spans="3:16" x14ac:dyDescent="0.3">
      <c r="C348">
        <v>17238</v>
      </c>
      <c r="D348" t="s">
        <v>37</v>
      </c>
      <c r="E348" t="s">
        <v>38</v>
      </c>
      <c r="F348" s="3">
        <v>80000</v>
      </c>
      <c r="G348">
        <v>0</v>
      </c>
      <c r="H348" t="s">
        <v>13</v>
      </c>
      <c r="I348" t="s">
        <v>21</v>
      </c>
      <c r="J348" t="s">
        <v>15</v>
      </c>
      <c r="K348">
        <v>3</v>
      </c>
      <c r="L348" t="s">
        <v>30</v>
      </c>
      <c r="M348" t="s">
        <v>24</v>
      </c>
      <c r="N348">
        <v>32</v>
      </c>
      <c r="O348" t="str" cm="1">
        <f t="array" ref="O348">_xlfn.IFS(N348&gt;=54,"old",N348&gt;=31,"middle age",N348&gt;=18,"adolsent",N348&lt;18,"invalid")</f>
        <v>middle age</v>
      </c>
      <c r="P348" t="s">
        <v>18</v>
      </c>
    </row>
    <row r="349" spans="3:16" x14ac:dyDescent="0.3">
      <c r="C349">
        <v>17260</v>
      </c>
      <c r="D349" t="s">
        <v>36</v>
      </c>
      <c r="E349" t="s">
        <v>38</v>
      </c>
      <c r="F349" s="3">
        <v>90000</v>
      </c>
      <c r="G349">
        <v>5</v>
      </c>
      <c r="H349" t="s">
        <v>19</v>
      </c>
      <c r="I349" t="s">
        <v>21</v>
      </c>
      <c r="J349" t="s">
        <v>15</v>
      </c>
      <c r="K349">
        <v>3</v>
      </c>
      <c r="L349" t="s">
        <v>16</v>
      </c>
      <c r="M349" t="s">
        <v>32</v>
      </c>
      <c r="N349">
        <v>41</v>
      </c>
      <c r="O349" t="str" cm="1">
        <f t="array" ref="O349">_xlfn.IFS(N349&gt;=54,"old",N349&gt;=31,"middle age",N349&gt;=18,"adolsent",N349&lt;18,"invalid")</f>
        <v>middle age</v>
      </c>
      <c r="P349" t="s">
        <v>18</v>
      </c>
    </row>
    <row r="350" spans="3:16" x14ac:dyDescent="0.3">
      <c r="C350">
        <v>17269</v>
      </c>
      <c r="D350" t="s">
        <v>37</v>
      </c>
      <c r="E350" t="s">
        <v>38</v>
      </c>
      <c r="F350" s="3">
        <v>60000</v>
      </c>
      <c r="G350">
        <v>3</v>
      </c>
      <c r="H350" t="s">
        <v>13</v>
      </c>
      <c r="I350" t="s">
        <v>21</v>
      </c>
      <c r="J350" t="s">
        <v>18</v>
      </c>
      <c r="K350">
        <v>0</v>
      </c>
      <c r="L350" t="s">
        <v>16</v>
      </c>
      <c r="M350" t="s">
        <v>32</v>
      </c>
      <c r="N350">
        <v>47</v>
      </c>
      <c r="O350" t="str" cm="1">
        <f t="array" ref="O350">_xlfn.IFS(N350&gt;=54,"old",N350&gt;=31,"middle age",N350&gt;=18,"adolsent",N350&lt;18,"invalid")</f>
        <v>middle age</v>
      </c>
      <c r="P350" t="s">
        <v>15</v>
      </c>
    </row>
    <row r="351" spans="3:16" x14ac:dyDescent="0.3">
      <c r="C351">
        <v>17310</v>
      </c>
      <c r="D351" t="s">
        <v>36</v>
      </c>
      <c r="E351" t="s">
        <v>38</v>
      </c>
      <c r="F351" s="3">
        <v>60000</v>
      </c>
      <c r="G351">
        <v>1</v>
      </c>
      <c r="H351" t="s">
        <v>19</v>
      </c>
      <c r="I351" t="s">
        <v>14</v>
      </c>
      <c r="J351" t="s">
        <v>15</v>
      </c>
      <c r="K351">
        <v>1</v>
      </c>
      <c r="L351" t="s">
        <v>16</v>
      </c>
      <c r="M351" t="s">
        <v>24</v>
      </c>
      <c r="N351">
        <v>45</v>
      </c>
      <c r="O351" t="str" cm="1">
        <f t="array" ref="O351">_xlfn.IFS(N351&gt;=54,"old",N351&gt;=31,"middle age",N351&gt;=18,"adolsent",N351&lt;18,"invalid")</f>
        <v>middle age</v>
      </c>
      <c r="P351" t="s">
        <v>15</v>
      </c>
    </row>
    <row r="352" spans="3:16" x14ac:dyDescent="0.3">
      <c r="C352">
        <v>17319</v>
      </c>
      <c r="D352" t="s">
        <v>37</v>
      </c>
      <c r="E352" t="s">
        <v>39</v>
      </c>
      <c r="F352" s="3">
        <v>70000</v>
      </c>
      <c r="G352">
        <v>0</v>
      </c>
      <c r="H352" t="s">
        <v>13</v>
      </c>
      <c r="I352" t="s">
        <v>21</v>
      </c>
      <c r="J352" t="s">
        <v>18</v>
      </c>
      <c r="K352">
        <v>1</v>
      </c>
      <c r="L352" t="s">
        <v>23</v>
      </c>
      <c r="M352" t="s">
        <v>24</v>
      </c>
      <c r="N352">
        <v>42</v>
      </c>
      <c r="O352" t="str" cm="1">
        <f t="array" ref="O352">_xlfn.IFS(N352&gt;=54,"old",N352&gt;=31,"middle age",N352&gt;=18,"adolsent",N352&lt;18,"invalid")</f>
        <v>middle age</v>
      </c>
      <c r="P352" t="s">
        <v>18</v>
      </c>
    </row>
    <row r="353" spans="3:16" x14ac:dyDescent="0.3">
      <c r="C353">
        <v>17324</v>
      </c>
      <c r="D353" t="s">
        <v>36</v>
      </c>
      <c r="E353" t="s">
        <v>39</v>
      </c>
      <c r="F353" s="3">
        <v>100000</v>
      </c>
      <c r="G353">
        <v>4</v>
      </c>
      <c r="H353" t="s">
        <v>13</v>
      </c>
      <c r="I353" t="s">
        <v>21</v>
      </c>
      <c r="J353" t="s">
        <v>15</v>
      </c>
      <c r="K353">
        <v>1</v>
      </c>
      <c r="L353" t="s">
        <v>30</v>
      </c>
      <c r="M353" t="s">
        <v>24</v>
      </c>
      <c r="N353">
        <v>46</v>
      </c>
      <c r="O353" t="str" cm="1">
        <f t="array" ref="O353">_xlfn.IFS(N353&gt;=54,"old",N353&gt;=31,"middle age",N353&gt;=18,"adolsent",N353&lt;18,"invalid")</f>
        <v>middle age</v>
      </c>
      <c r="P353" t="s">
        <v>18</v>
      </c>
    </row>
    <row r="354" spans="3:16" x14ac:dyDescent="0.3">
      <c r="C354">
        <v>17337</v>
      </c>
      <c r="D354" t="s">
        <v>37</v>
      </c>
      <c r="E354" t="s">
        <v>38</v>
      </c>
      <c r="F354" s="3">
        <v>40000</v>
      </c>
      <c r="G354">
        <v>0</v>
      </c>
      <c r="H354" t="s">
        <v>27</v>
      </c>
      <c r="I354" t="s">
        <v>14</v>
      </c>
      <c r="J354" t="s">
        <v>15</v>
      </c>
      <c r="K354">
        <v>1</v>
      </c>
      <c r="L354" t="s">
        <v>23</v>
      </c>
      <c r="M354" t="s">
        <v>32</v>
      </c>
      <c r="N354">
        <v>31</v>
      </c>
      <c r="O354" t="str" cm="1">
        <f t="array" ref="O354">_xlfn.IFS(N354&gt;=54,"old",N354&gt;=31,"middle age",N354&gt;=18,"adolsent",N354&lt;18,"invalid")</f>
        <v>middle age</v>
      </c>
      <c r="P354" t="s">
        <v>18</v>
      </c>
    </row>
    <row r="355" spans="3:16" x14ac:dyDescent="0.3">
      <c r="C355">
        <v>17352</v>
      </c>
      <c r="D355" t="s">
        <v>36</v>
      </c>
      <c r="E355" t="s">
        <v>38</v>
      </c>
      <c r="F355" s="3">
        <v>50000</v>
      </c>
      <c r="G355">
        <v>2</v>
      </c>
      <c r="H355" t="s">
        <v>31</v>
      </c>
      <c r="I355" t="s">
        <v>28</v>
      </c>
      <c r="J355" t="s">
        <v>15</v>
      </c>
      <c r="K355">
        <v>1</v>
      </c>
      <c r="L355" t="s">
        <v>23</v>
      </c>
      <c r="M355" t="s">
        <v>24</v>
      </c>
      <c r="N355">
        <v>64</v>
      </c>
      <c r="O355" t="str" cm="1">
        <f t="array" ref="O355">_xlfn.IFS(N355&gt;=54,"old",N355&gt;=31,"middle age",N355&gt;=18,"adolsent",N355&lt;18,"invalid")</f>
        <v>old</v>
      </c>
      <c r="P355" t="s">
        <v>15</v>
      </c>
    </row>
    <row r="356" spans="3:16" x14ac:dyDescent="0.3">
      <c r="C356">
        <v>17369</v>
      </c>
      <c r="D356" t="s">
        <v>37</v>
      </c>
      <c r="E356" t="s">
        <v>38</v>
      </c>
      <c r="F356" s="3">
        <v>30000</v>
      </c>
      <c r="G356">
        <v>0</v>
      </c>
      <c r="H356" t="s">
        <v>19</v>
      </c>
      <c r="I356" t="s">
        <v>14</v>
      </c>
      <c r="J356" t="s">
        <v>15</v>
      </c>
      <c r="K356">
        <v>1</v>
      </c>
      <c r="L356" t="s">
        <v>23</v>
      </c>
      <c r="M356" t="s">
        <v>32</v>
      </c>
      <c r="N356">
        <v>27</v>
      </c>
      <c r="O356" t="str" cm="1">
        <f t="array" ref="O356">_xlfn.IFS(N356&gt;=54,"old",N356&gt;=31,"middle age",N356&gt;=18,"adolsent",N356&lt;18,"invalid")</f>
        <v>adolsent</v>
      </c>
      <c r="P356" t="s">
        <v>18</v>
      </c>
    </row>
    <row r="357" spans="3:16" x14ac:dyDescent="0.3">
      <c r="C357">
        <v>17436</v>
      </c>
      <c r="D357" t="s">
        <v>36</v>
      </c>
      <c r="E357" t="s">
        <v>38</v>
      </c>
      <c r="F357" s="3">
        <v>60000</v>
      </c>
      <c r="G357">
        <v>2</v>
      </c>
      <c r="H357" t="s">
        <v>27</v>
      </c>
      <c r="I357" t="s">
        <v>21</v>
      </c>
      <c r="J357" t="s">
        <v>18</v>
      </c>
      <c r="K357">
        <v>2</v>
      </c>
      <c r="L357" t="s">
        <v>26</v>
      </c>
      <c r="M357" t="s">
        <v>32</v>
      </c>
      <c r="N357">
        <v>51</v>
      </c>
      <c r="O357" t="str" cm="1">
        <f t="array" ref="O357">_xlfn.IFS(N357&gt;=54,"old",N357&gt;=31,"middle age",N357&gt;=18,"adolsent",N357&lt;18,"invalid")</f>
        <v>middle age</v>
      </c>
      <c r="P357" t="s">
        <v>18</v>
      </c>
    </row>
    <row r="358" spans="3:16" x14ac:dyDescent="0.3">
      <c r="C358">
        <v>17450</v>
      </c>
      <c r="D358" t="s">
        <v>36</v>
      </c>
      <c r="E358" t="s">
        <v>38</v>
      </c>
      <c r="F358" s="3">
        <v>80000</v>
      </c>
      <c r="G358">
        <v>5</v>
      </c>
      <c r="H358" t="s">
        <v>19</v>
      </c>
      <c r="I358" t="s">
        <v>21</v>
      </c>
      <c r="J358" t="s">
        <v>15</v>
      </c>
      <c r="K358">
        <v>3</v>
      </c>
      <c r="L358" t="s">
        <v>23</v>
      </c>
      <c r="M358" t="s">
        <v>32</v>
      </c>
      <c r="N358">
        <v>45</v>
      </c>
      <c r="O358" t="str" cm="1">
        <f t="array" ref="O358">_xlfn.IFS(N358&gt;=54,"old",N358&gt;=31,"middle age",N358&gt;=18,"adolsent",N358&lt;18,"invalid")</f>
        <v>middle age</v>
      </c>
      <c r="P358" t="s">
        <v>18</v>
      </c>
    </row>
    <row r="359" spans="3:16" x14ac:dyDescent="0.3">
      <c r="C359">
        <v>17458</v>
      </c>
      <c r="D359" t="s">
        <v>37</v>
      </c>
      <c r="E359" t="s">
        <v>38</v>
      </c>
      <c r="F359" s="3">
        <v>70000</v>
      </c>
      <c r="G359">
        <v>3</v>
      </c>
      <c r="H359" t="s">
        <v>27</v>
      </c>
      <c r="I359" t="s">
        <v>21</v>
      </c>
      <c r="J359" t="s">
        <v>15</v>
      </c>
      <c r="K359">
        <v>0</v>
      </c>
      <c r="L359" t="s">
        <v>23</v>
      </c>
      <c r="M359" t="s">
        <v>32</v>
      </c>
      <c r="N359">
        <v>52</v>
      </c>
      <c r="O359" t="str" cm="1">
        <f t="array" ref="O359">_xlfn.IFS(N359&gt;=54,"old",N359&gt;=31,"middle age",N359&gt;=18,"adolsent",N359&lt;18,"invalid")</f>
        <v>middle age</v>
      </c>
      <c r="P359" t="s">
        <v>15</v>
      </c>
    </row>
    <row r="360" spans="3:16" x14ac:dyDescent="0.3">
      <c r="C360">
        <v>17462</v>
      </c>
      <c r="D360" t="s">
        <v>36</v>
      </c>
      <c r="E360" t="s">
        <v>38</v>
      </c>
      <c r="F360" s="3">
        <v>70000</v>
      </c>
      <c r="G360">
        <v>3</v>
      </c>
      <c r="H360" t="s">
        <v>31</v>
      </c>
      <c r="I360" t="s">
        <v>28</v>
      </c>
      <c r="J360" t="s">
        <v>15</v>
      </c>
      <c r="K360">
        <v>2</v>
      </c>
      <c r="L360" t="s">
        <v>23</v>
      </c>
      <c r="M360" t="s">
        <v>32</v>
      </c>
      <c r="N360">
        <v>53</v>
      </c>
      <c r="O360" t="str" cm="1">
        <f t="array" ref="O360">_xlfn.IFS(N360&gt;=54,"old",N360&gt;=31,"middle age",N360&gt;=18,"adolsent",N360&lt;18,"invalid")</f>
        <v>middle age</v>
      </c>
      <c r="P360" t="s">
        <v>15</v>
      </c>
    </row>
    <row r="361" spans="3:16" x14ac:dyDescent="0.3">
      <c r="C361">
        <v>17471</v>
      </c>
      <c r="D361" t="s">
        <v>37</v>
      </c>
      <c r="E361" t="s">
        <v>39</v>
      </c>
      <c r="F361" s="3">
        <v>80000</v>
      </c>
      <c r="G361">
        <v>4</v>
      </c>
      <c r="H361" t="s">
        <v>31</v>
      </c>
      <c r="I361" t="s">
        <v>28</v>
      </c>
      <c r="J361" t="s">
        <v>15</v>
      </c>
      <c r="K361">
        <v>2</v>
      </c>
      <c r="L361" t="s">
        <v>23</v>
      </c>
      <c r="M361" t="s">
        <v>32</v>
      </c>
      <c r="N361">
        <v>67</v>
      </c>
      <c r="O361" t="str" cm="1">
        <f t="array" ref="O361">_xlfn.IFS(N361&gt;=54,"old",N361&gt;=31,"middle age",N361&gt;=18,"adolsent",N361&lt;18,"invalid")</f>
        <v>old</v>
      </c>
      <c r="P361" t="s">
        <v>18</v>
      </c>
    </row>
    <row r="362" spans="3:16" x14ac:dyDescent="0.3">
      <c r="C362">
        <v>17482</v>
      </c>
      <c r="D362" t="s">
        <v>37</v>
      </c>
      <c r="E362" t="s">
        <v>39</v>
      </c>
      <c r="F362" s="3">
        <v>40000</v>
      </c>
      <c r="G362">
        <v>0</v>
      </c>
      <c r="H362" t="s">
        <v>29</v>
      </c>
      <c r="I362" t="s">
        <v>20</v>
      </c>
      <c r="J362" t="s">
        <v>15</v>
      </c>
      <c r="K362">
        <v>2</v>
      </c>
      <c r="L362" t="s">
        <v>23</v>
      </c>
      <c r="M362" t="s">
        <v>32</v>
      </c>
      <c r="N362">
        <v>29</v>
      </c>
      <c r="O362" t="str" cm="1">
        <f t="array" ref="O362">_xlfn.IFS(N362&gt;=54,"old",N362&gt;=31,"middle age",N362&gt;=18,"adolsent",N362&lt;18,"invalid")</f>
        <v>adolsent</v>
      </c>
      <c r="P362" t="s">
        <v>18</v>
      </c>
    </row>
    <row r="363" spans="3:16" x14ac:dyDescent="0.3">
      <c r="C363">
        <v>17504</v>
      </c>
      <c r="D363" t="s">
        <v>37</v>
      </c>
      <c r="E363" t="s">
        <v>39</v>
      </c>
      <c r="F363" s="3">
        <v>80000</v>
      </c>
      <c r="G363">
        <v>2</v>
      </c>
      <c r="H363" t="s">
        <v>19</v>
      </c>
      <c r="I363" t="s">
        <v>14</v>
      </c>
      <c r="J363" t="s">
        <v>15</v>
      </c>
      <c r="K363">
        <v>2</v>
      </c>
      <c r="L363" t="s">
        <v>23</v>
      </c>
      <c r="M363" t="s">
        <v>24</v>
      </c>
      <c r="N363">
        <v>52</v>
      </c>
      <c r="O363" t="str" cm="1">
        <f t="array" ref="O363">_xlfn.IFS(N363&gt;=54,"old",N363&gt;=31,"middle age",N363&gt;=18,"adolsent",N363&lt;18,"invalid")</f>
        <v>middle age</v>
      </c>
      <c r="P363" t="s">
        <v>15</v>
      </c>
    </row>
    <row r="364" spans="3:16" x14ac:dyDescent="0.3">
      <c r="C364">
        <v>17519</v>
      </c>
      <c r="D364" t="s">
        <v>36</v>
      </c>
      <c r="E364" t="s">
        <v>39</v>
      </c>
      <c r="F364" s="3">
        <v>60000</v>
      </c>
      <c r="G364">
        <v>0</v>
      </c>
      <c r="H364" t="s">
        <v>19</v>
      </c>
      <c r="I364" t="s">
        <v>21</v>
      </c>
      <c r="J364" t="s">
        <v>15</v>
      </c>
      <c r="K364">
        <v>2</v>
      </c>
      <c r="L364" t="s">
        <v>23</v>
      </c>
      <c r="M364" t="s">
        <v>32</v>
      </c>
      <c r="N364">
        <v>32</v>
      </c>
      <c r="O364" t="str" cm="1">
        <f t="array" ref="O364">_xlfn.IFS(N364&gt;=54,"old",N364&gt;=31,"middle age",N364&gt;=18,"adolsent",N364&lt;18,"invalid")</f>
        <v>middle age</v>
      </c>
      <c r="P364" t="s">
        <v>18</v>
      </c>
    </row>
    <row r="365" spans="3:16" x14ac:dyDescent="0.3">
      <c r="C365">
        <v>17522</v>
      </c>
      <c r="D365" t="s">
        <v>36</v>
      </c>
      <c r="E365" t="s">
        <v>38</v>
      </c>
      <c r="F365" s="3">
        <v>120000</v>
      </c>
      <c r="G365">
        <v>4</v>
      </c>
      <c r="H365" t="s">
        <v>13</v>
      </c>
      <c r="I365" t="s">
        <v>28</v>
      </c>
      <c r="J365" t="s">
        <v>15</v>
      </c>
      <c r="K365">
        <v>1</v>
      </c>
      <c r="L365" t="s">
        <v>22</v>
      </c>
      <c r="M365" t="s">
        <v>24</v>
      </c>
      <c r="N365">
        <v>47</v>
      </c>
      <c r="O365" t="str" cm="1">
        <f t="array" ref="O365">_xlfn.IFS(N365&gt;=54,"old",N365&gt;=31,"middle age",N365&gt;=18,"adolsent",N365&lt;18,"invalid")</f>
        <v>middle age</v>
      </c>
      <c r="P365" t="s">
        <v>18</v>
      </c>
    </row>
    <row r="366" spans="3:16" x14ac:dyDescent="0.3">
      <c r="C366">
        <v>17531</v>
      </c>
      <c r="D366" t="s">
        <v>36</v>
      </c>
      <c r="E366" t="s">
        <v>38</v>
      </c>
      <c r="F366" s="3">
        <v>60000</v>
      </c>
      <c r="G366">
        <v>2</v>
      </c>
      <c r="H366" t="s">
        <v>27</v>
      </c>
      <c r="I366" t="s">
        <v>21</v>
      </c>
      <c r="J366" t="s">
        <v>18</v>
      </c>
      <c r="K366">
        <v>2</v>
      </c>
      <c r="L366" t="s">
        <v>23</v>
      </c>
      <c r="M366" t="s">
        <v>32</v>
      </c>
      <c r="N366">
        <v>50</v>
      </c>
      <c r="O366" t="str" cm="1">
        <f t="array" ref="O366">_xlfn.IFS(N366&gt;=54,"old",N366&gt;=31,"middle age",N366&gt;=18,"adolsent",N366&lt;18,"invalid")</f>
        <v>middle age</v>
      </c>
      <c r="P366" t="s">
        <v>18</v>
      </c>
    </row>
    <row r="367" spans="3:16" x14ac:dyDescent="0.3">
      <c r="C367">
        <v>17533</v>
      </c>
      <c r="D367" t="s">
        <v>36</v>
      </c>
      <c r="E367" t="s">
        <v>38</v>
      </c>
      <c r="F367" s="3">
        <v>40000</v>
      </c>
      <c r="G367">
        <v>3</v>
      </c>
      <c r="H367" t="s">
        <v>19</v>
      </c>
      <c r="I367" t="s">
        <v>21</v>
      </c>
      <c r="J367" t="s">
        <v>18</v>
      </c>
      <c r="K367">
        <v>2</v>
      </c>
      <c r="L367" t="s">
        <v>23</v>
      </c>
      <c r="M367" t="s">
        <v>32</v>
      </c>
      <c r="N367">
        <v>73</v>
      </c>
      <c r="O367" t="str" cm="1">
        <f t="array" ref="O367">_xlfn.IFS(N367&gt;=54,"old",N367&gt;=31,"middle age",N367&gt;=18,"adolsent",N367&lt;18,"invalid")</f>
        <v>old</v>
      </c>
      <c r="P367" t="s">
        <v>15</v>
      </c>
    </row>
    <row r="368" spans="3:16" x14ac:dyDescent="0.3">
      <c r="C368">
        <v>17541</v>
      </c>
      <c r="D368" t="s">
        <v>36</v>
      </c>
      <c r="E368" t="s">
        <v>39</v>
      </c>
      <c r="F368" s="3">
        <v>40000</v>
      </c>
      <c r="G368">
        <v>4</v>
      </c>
      <c r="H368" t="s">
        <v>27</v>
      </c>
      <c r="I368" t="s">
        <v>14</v>
      </c>
      <c r="J368" t="s">
        <v>15</v>
      </c>
      <c r="K368">
        <v>2</v>
      </c>
      <c r="L368" t="s">
        <v>22</v>
      </c>
      <c r="M368" t="s">
        <v>32</v>
      </c>
      <c r="N368">
        <v>43</v>
      </c>
      <c r="O368" t="str" cm="1">
        <f t="array" ref="O368">_xlfn.IFS(N368&gt;=54,"old",N368&gt;=31,"middle age",N368&gt;=18,"adolsent",N368&lt;18,"invalid")</f>
        <v>middle age</v>
      </c>
      <c r="P368" t="s">
        <v>18</v>
      </c>
    </row>
    <row r="369" spans="3:16" x14ac:dyDescent="0.3">
      <c r="C369">
        <v>17546</v>
      </c>
      <c r="D369" t="s">
        <v>36</v>
      </c>
      <c r="E369" t="s">
        <v>39</v>
      </c>
      <c r="F369" s="3">
        <v>70000</v>
      </c>
      <c r="G369">
        <v>1</v>
      </c>
      <c r="H369" t="s">
        <v>19</v>
      </c>
      <c r="I369" t="s">
        <v>14</v>
      </c>
      <c r="J369" t="s">
        <v>15</v>
      </c>
      <c r="K369">
        <v>1</v>
      </c>
      <c r="L369" t="s">
        <v>16</v>
      </c>
      <c r="M369" t="s">
        <v>32</v>
      </c>
      <c r="N369">
        <v>44</v>
      </c>
      <c r="O369" t="str" cm="1">
        <f t="array" ref="O369">_xlfn.IFS(N369&gt;=54,"old",N369&gt;=31,"middle age",N369&gt;=18,"adolsent",N369&lt;18,"invalid")</f>
        <v>middle age</v>
      </c>
      <c r="P369" t="s">
        <v>15</v>
      </c>
    </row>
    <row r="370" spans="3:16" x14ac:dyDescent="0.3">
      <c r="C370">
        <v>17650</v>
      </c>
      <c r="D370" t="s">
        <v>37</v>
      </c>
      <c r="E370" t="s">
        <v>39</v>
      </c>
      <c r="F370" s="3">
        <v>40000</v>
      </c>
      <c r="G370">
        <v>2</v>
      </c>
      <c r="H370" t="s">
        <v>19</v>
      </c>
      <c r="I370" t="s">
        <v>20</v>
      </c>
      <c r="J370" t="s">
        <v>15</v>
      </c>
      <c r="K370">
        <v>2</v>
      </c>
      <c r="L370" t="s">
        <v>26</v>
      </c>
      <c r="M370" t="s">
        <v>17</v>
      </c>
      <c r="N370">
        <v>35</v>
      </c>
      <c r="O370" t="str" cm="1">
        <f t="array" ref="O370">_xlfn.IFS(N370&gt;=54,"old",N370&gt;=31,"middle age",N370&gt;=18,"adolsent",N370&lt;18,"invalid")</f>
        <v>middle age</v>
      </c>
      <c r="P370" t="s">
        <v>18</v>
      </c>
    </row>
    <row r="371" spans="3:16" x14ac:dyDescent="0.3">
      <c r="C371">
        <v>17654</v>
      </c>
      <c r="D371" t="s">
        <v>37</v>
      </c>
      <c r="E371" t="s">
        <v>39</v>
      </c>
      <c r="F371" s="3">
        <v>40000</v>
      </c>
      <c r="G371">
        <v>3</v>
      </c>
      <c r="H371" t="s">
        <v>19</v>
      </c>
      <c r="I371" t="s">
        <v>20</v>
      </c>
      <c r="J371" t="s">
        <v>15</v>
      </c>
      <c r="K371">
        <v>1</v>
      </c>
      <c r="L371" t="s">
        <v>26</v>
      </c>
      <c r="M371" t="s">
        <v>32</v>
      </c>
      <c r="N371">
        <v>30</v>
      </c>
      <c r="O371" t="str" cm="1">
        <f t="array" ref="O371">_xlfn.IFS(N371&gt;=54,"old",N371&gt;=31,"middle age",N371&gt;=18,"adolsent",N371&lt;18,"invalid")</f>
        <v>adolsent</v>
      </c>
      <c r="P371" t="s">
        <v>15</v>
      </c>
    </row>
    <row r="372" spans="3:16" x14ac:dyDescent="0.3">
      <c r="C372">
        <v>17657</v>
      </c>
      <c r="D372" t="s">
        <v>36</v>
      </c>
      <c r="E372" t="s">
        <v>38</v>
      </c>
      <c r="F372" s="3">
        <v>40000</v>
      </c>
      <c r="G372">
        <v>4</v>
      </c>
      <c r="H372" t="s">
        <v>19</v>
      </c>
      <c r="I372" t="s">
        <v>20</v>
      </c>
      <c r="J372" t="s">
        <v>18</v>
      </c>
      <c r="K372">
        <v>0</v>
      </c>
      <c r="L372" t="s">
        <v>16</v>
      </c>
      <c r="M372" t="s">
        <v>32</v>
      </c>
      <c r="N372">
        <v>30</v>
      </c>
      <c r="O372" t="str" cm="1">
        <f t="array" ref="O372">_xlfn.IFS(N372&gt;=54,"old",N372&gt;=31,"middle age",N372&gt;=18,"adolsent",N372&lt;18,"invalid")</f>
        <v>adolsent</v>
      </c>
      <c r="P372" t="s">
        <v>18</v>
      </c>
    </row>
    <row r="373" spans="3:16" x14ac:dyDescent="0.3">
      <c r="C373">
        <v>17668</v>
      </c>
      <c r="D373" t="s">
        <v>37</v>
      </c>
      <c r="E373" t="s">
        <v>38</v>
      </c>
      <c r="F373" s="3">
        <v>30000</v>
      </c>
      <c r="G373">
        <v>2</v>
      </c>
      <c r="H373" t="s">
        <v>27</v>
      </c>
      <c r="I373" t="s">
        <v>14</v>
      </c>
      <c r="J373" t="s">
        <v>15</v>
      </c>
      <c r="K373">
        <v>2</v>
      </c>
      <c r="L373" t="s">
        <v>26</v>
      </c>
      <c r="M373" t="s">
        <v>32</v>
      </c>
      <c r="N373">
        <v>50</v>
      </c>
      <c r="O373" t="str" cm="1">
        <f t="array" ref="O373">_xlfn.IFS(N373&gt;=54,"old",N373&gt;=31,"middle age",N373&gt;=18,"adolsent",N373&lt;18,"invalid")</f>
        <v>middle age</v>
      </c>
      <c r="P373" t="s">
        <v>15</v>
      </c>
    </row>
    <row r="374" spans="3:16" x14ac:dyDescent="0.3">
      <c r="C374">
        <v>17699</v>
      </c>
      <c r="D374" t="s">
        <v>36</v>
      </c>
      <c r="E374" t="s">
        <v>38</v>
      </c>
      <c r="F374" s="3">
        <v>60000</v>
      </c>
      <c r="G374">
        <v>1</v>
      </c>
      <c r="H374" t="s">
        <v>31</v>
      </c>
      <c r="I374" t="s">
        <v>14</v>
      </c>
      <c r="J374" t="s">
        <v>18</v>
      </c>
      <c r="K374">
        <v>0</v>
      </c>
      <c r="L374" t="s">
        <v>16</v>
      </c>
      <c r="M374" t="s">
        <v>32</v>
      </c>
      <c r="N374">
        <v>55</v>
      </c>
      <c r="O374" t="str" cm="1">
        <f t="array" ref="O374">_xlfn.IFS(N374&gt;=54,"old",N374&gt;=31,"middle age",N374&gt;=18,"adolsent",N374&lt;18,"invalid")</f>
        <v>old</v>
      </c>
      <c r="P374" t="s">
        <v>18</v>
      </c>
    </row>
    <row r="375" spans="3:16" x14ac:dyDescent="0.3">
      <c r="C375">
        <v>17702</v>
      </c>
      <c r="D375" t="s">
        <v>36</v>
      </c>
      <c r="E375" t="s">
        <v>38</v>
      </c>
      <c r="F375" s="3">
        <v>10000</v>
      </c>
      <c r="G375">
        <v>1</v>
      </c>
      <c r="H375" t="s">
        <v>31</v>
      </c>
      <c r="I375" t="s">
        <v>25</v>
      </c>
      <c r="J375" t="s">
        <v>15</v>
      </c>
      <c r="K375">
        <v>0</v>
      </c>
      <c r="L375" t="s">
        <v>16</v>
      </c>
      <c r="M375" t="s">
        <v>17</v>
      </c>
      <c r="N375">
        <v>37</v>
      </c>
      <c r="O375" t="str" cm="1">
        <f t="array" ref="O375">_xlfn.IFS(N375&gt;=54,"old",N375&gt;=31,"middle age",N375&gt;=18,"adolsent",N375&lt;18,"invalid")</f>
        <v>middle age</v>
      </c>
      <c r="P375" t="s">
        <v>18</v>
      </c>
    </row>
    <row r="376" spans="3:16" x14ac:dyDescent="0.3">
      <c r="C376">
        <v>17703</v>
      </c>
      <c r="D376" t="s">
        <v>36</v>
      </c>
      <c r="E376" t="s">
        <v>39</v>
      </c>
      <c r="F376" s="3">
        <v>10000</v>
      </c>
      <c r="G376">
        <v>1</v>
      </c>
      <c r="H376" t="s">
        <v>31</v>
      </c>
      <c r="I376" t="s">
        <v>25</v>
      </c>
      <c r="J376" t="s">
        <v>15</v>
      </c>
      <c r="K376">
        <v>0</v>
      </c>
      <c r="L376" t="s">
        <v>16</v>
      </c>
      <c r="M376" t="s">
        <v>17</v>
      </c>
      <c r="N376">
        <v>40</v>
      </c>
      <c r="O376" t="str" cm="1">
        <f t="array" ref="O376">_xlfn.IFS(N376&gt;=54,"old",N376&gt;=31,"middle age",N376&gt;=18,"adolsent",N376&lt;18,"invalid")</f>
        <v>middle age</v>
      </c>
      <c r="P376" t="s">
        <v>18</v>
      </c>
    </row>
    <row r="377" spans="3:16" x14ac:dyDescent="0.3">
      <c r="C377">
        <v>17754</v>
      </c>
      <c r="D377" t="s">
        <v>37</v>
      </c>
      <c r="E377" t="s">
        <v>39</v>
      </c>
      <c r="F377" s="3">
        <v>30000</v>
      </c>
      <c r="G377">
        <v>3</v>
      </c>
      <c r="H377" t="s">
        <v>13</v>
      </c>
      <c r="I377" t="s">
        <v>20</v>
      </c>
      <c r="J377" t="s">
        <v>15</v>
      </c>
      <c r="K377">
        <v>0</v>
      </c>
      <c r="L377" t="s">
        <v>16</v>
      </c>
      <c r="M377" t="s">
        <v>17</v>
      </c>
      <c r="N377">
        <v>46</v>
      </c>
      <c r="O377" t="str" cm="1">
        <f t="array" ref="O377">_xlfn.IFS(N377&gt;=54,"old",N377&gt;=31,"middle age",N377&gt;=18,"adolsent",N377&lt;18,"invalid")</f>
        <v>middle age</v>
      </c>
      <c r="P377" t="s">
        <v>15</v>
      </c>
    </row>
    <row r="378" spans="3:16" x14ac:dyDescent="0.3">
      <c r="C378">
        <v>17793</v>
      </c>
      <c r="D378" t="s">
        <v>36</v>
      </c>
      <c r="E378" t="s">
        <v>39</v>
      </c>
      <c r="F378" s="3">
        <v>40000</v>
      </c>
      <c r="G378">
        <v>0</v>
      </c>
      <c r="H378" t="s">
        <v>13</v>
      </c>
      <c r="I378" t="s">
        <v>20</v>
      </c>
      <c r="J378" t="s">
        <v>15</v>
      </c>
      <c r="K378">
        <v>0</v>
      </c>
      <c r="L378" t="s">
        <v>16</v>
      </c>
      <c r="M378" t="s">
        <v>17</v>
      </c>
      <c r="N378">
        <v>38</v>
      </c>
      <c r="O378" t="str" cm="1">
        <f t="array" ref="O378">_xlfn.IFS(N378&gt;=54,"old",N378&gt;=31,"middle age",N378&gt;=18,"adolsent",N378&lt;18,"invalid")</f>
        <v>middle age</v>
      </c>
      <c r="P378" t="s">
        <v>15</v>
      </c>
    </row>
    <row r="379" spans="3:16" x14ac:dyDescent="0.3">
      <c r="C379">
        <v>17841</v>
      </c>
      <c r="D379" t="s">
        <v>37</v>
      </c>
      <c r="E379" t="s">
        <v>38</v>
      </c>
      <c r="F379" s="3">
        <v>30000</v>
      </c>
      <c r="G379">
        <v>0</v>
      </c>
      <c r="H379" t="s">
        <v>19</v>
      </c>
      <c r="I379" t="s">
        <v>20</v>
      </c>
      <c r="J379" t="s">
        <v>18</v>
      </c>
      <c r="K379">
        <v>1</v>
      </c>
      <c r="L379" t="s">
        <v>16</v>
      </c>
      <c r="M379" t="s">
        <v>17</v>
      </c>
      <c r="N379">
        <v>29</v>
      </c>
      <c r="O379" t="str" cm="1">
        <f t="array" ref="O379">_xlfn.IFS(N379&gt;=54,"old",N379&gt;=31,"middle age",N379&gt;=18,"adolsent",N379&lt;18,"invalid")</f>
        <v>adolsent</v>
      </c>
      <c r="P379" t="s">
        <v>15</v>
      </c>
    </row>
    <row r="380" spans="3:16" x14ac:dyDescent="0.3">
      <c r="C380">
        <v>17843</v>
      </c>
      <c r="D380" t="s">
        <v>37</v>
      </c>
      <c r="E380" t="s">
        <v>39</v>
      </c>
      <c r="F380" s="3">
        <v>10000</v>
      </c>
      <c r="G380">
        <v>0</v>
      </c>
      <c r="H380" t="s">
        <v>29</v>
      </c>
      <c r="I380" t="s">
        <v>25</v>
      </c>
      <c r="J380" t="s">
        <v>18</v>
      </c>
      <c r="K380">
        <v>2</v>
      </c>
      <c r="L380" t="s">
        <v>16</v>
      </c>
      <c r="M380" t="s">
        <v>17</v>
      </c>
      <c r="N380">
        <v>32</v>
      </c>
      <c r="O380" t="str" cm="1">
        <f t="array" ref="O380">_xlfn.IFS(N380&gt;=54,"old",N380&gt;=31,"middle age",N380&gt;=18,"adolsent",N380&lt;18,"invalid")</f>
        <v>middle age</v>
      </c>
      <c r="P380" t="s">
        <v>18</v>
      </c>
    </row>
    <row r="381" spans="3:16" x14ac:dyDescent="0.3">
      <c r="C381">
        <v>17845</v>
      </c>
      <c r="D381" t="s">
        <v>37</v>
      </c>
      <c r="E381" t="s">
        <v>39</v>
      </c>
      <c r="F381" s="3">
        <v>20000</v>
      </c>
      <c r="G381">
        <v>0</v>
      </c>
      <c r="H381" t="s">
        <v>29</v>
      </c>
      <c r="I381" t="s">
        <v>25</v>
      </c>
      <c r="J381" t="s">
        <v>18</v>
      </c>
      <c r="K381">
        <v>2</v>
      </c>
      <c r="L381" t="s">
        <v>26</v>
      </c>
      <c r="M381" t="s">
        <v>17</v>
      </c>
      <c r="N381">
        <v>32</v>
      </c>
      <c r="O381" t="str" cm="1">
        <f t="array" ref="O381">_xlfn.IFS(N381&gt;=54,"old",N381&gt;=31,"middle age",N381&gt;=18,"adolsent",N381&lt;18,"invalid")</f>
        <v>middle age</v>
      </c>
      <c r="P381" t="s">
        <v>18</v>
      </c>
    </row>
    <row r="382" spans="3:16" x14ac:dyDescent="0.3">
      <c r="C382">
        <v>17848</v>
      </c>
      <c r="D382" t="s">
        <v>37</v>
      </c>
      <c r="E382" t="s">
        <v>38</v>
      </c>
      <c r="F382" s="3">
        <v>30000</v>
      </c>
      <c r="G382">
        <v>0</v>
      </c>
      <c r="H382" t="s">
        <v>19</v>
      </c>
      <c r="I382" t="s">
        <v>20</v>
      </c>
      <c r="J382" t="s">
        <v>18</v>
      </c>
      <c r="K382">
        <v>1</v>
      </c>
      <c r="L382" t="s">
        <v>22</v>
      </c>
      <c r="M382" t="s">
        <v>17</v>
      </c>
      <c r="N382">
        <v>31</v>
      </c>
      <c r="O382" t="str" cm="1">
        <f t="array" ref="O382">_xlfn.IFS(N382&gt;=54,"old",N382&gt;=31,"middle age",N382&gt;=18,"adolsent",N382&lt;18,"invalid")</f>
        <v>middle age</v>
      </c>
      <c r="P382" t="s">
        <v>15</v>
      </c>
    </row>
    <row r="383" spans="3:16" x14ac:dyDescent="0.3">
      <c r="C383">
        <v>17858</v>
      </c>
      <c r="D383" t="s">
        <v>36</v>
      </c>
      <c r="E383" t="s">
        <v>38</v>
      </c>
      <c r="F383" s="3">
        <v>40000</v>
      </c>
      <c r="G383">
        <v>4</v>
      </c>
      <c r="H383" t="s">
        <v>27</v>
      </c>
      <c r="I383" t="s">
        <v>14</v>
      </c>
      <c r="J383" t="s">
        <v>15</v>
      </c>
      <c r="K383">
        <v>2</v>
      </c>
      <c r="L383" t="s">
        <v>22</v>
      </c>
      <c r="M383" t="s">
        <v>32</v>
      </c>
      <c r="N383">
        <v>44</v>
      </c>
      <c r="O383" t="str" cm="1">
        <f t="array" ref="O383">_xlfn.IFS(N383&gt;=54,"old",N383&gt;=31,"middle age",N383&gt;=18,"adolsent",N383&lt;18,"invalid")</f>
        <v>middle age</v>
      </c>
      <c r="P383" t="s">
        <v>15</v>
      </c>
    </row>
    <row r="384" spans="3:16" x14ac:dyDescent="0.3">
      <c r="C384">
        <v>17864</v>
      </c>
      <c r="D384" t="s">
        <v>36</v>
      </c>
      <c r="E384" t="s">
        <v>39</v>
      </c>
      <c r="F384" s="3">
        <v>60000</v>
      </c>
      <c r="G384">
        <v>1</v>
      </c>
      <c r="H384" t="s">
        <v>19</v>
      </c>
      <c r="I384" t="s">
        <v>14</v>
      </c>
      <c r="J384" t="s">
        <v>15</v>
      </c>
      <c r="K384">
        <v>1</v>
      </c>
      <c r="L384" t="s">
        <v>22</v>
      </c>
      <c r="M384" t="s">
        <v>32</v>
      </c>
      <c r="N384">
        <v>46</v>
      </c>
      <c r="O384" t="str" cm="1">
        <f t="array" ref="O384">_xlfn.IFS(N384&gt;=54,"old",N384&gt;=31,"middle age",N384&gt;=18,"adolsent",N384&lt;18,"invalid")</f>
        <v>middle age</v>
      </c>
      <c r="P384" t="s">
        <v>15</v>
      </c>
    </row>
    <row r="385" spans="3:16" x14ac:dyDescent="0.3">
      <c r="C385">
        <v>17882</v>
      </c>
      <c r="D385" t="s">
        <v>36</v>
      </c>
      <c r="E385" t="s">
        <v>38</v>
      </c>
      <c r="F385" s="3">
        <v>20000</v>
      </c>
      <c r="G385">
        <v>1</v>
      </c>
      <c r="H385" t="s">
        <v>31</v>
      </c>
      <c r="I385" t="s">
        <v>20</v>
      </c>
      <c r="J385" t="s">
        <v>15</v>
      </c>
      <c r="K385">
        <v>0</v>
      </c>
      <c r="L385" t="s">
        <v>16</v>
      </c>
      <c r="M385" t="s">
        <v>17</v>
      </c>
      <c r="N385">
        <v>44</v>
      </c>
      <c r="O385" t="str" cm="1">
        <f t="array" ref="O385">_xlfn.IFS(N385&gt;=54,"old",N385&gt;=31,"middle age",N385&gt;=18,"adolsent",N385&lt;18,"invalid")</f>
        <v>middle age</v>
      </c>
      <c r="P385" t="s">
        <v>18</v>
      </c>
    </row>
    <row r="386" spans="3:16" x14ac:dyDescent="0.3">
      <c r="C386">
        <v>17891</v>
      </c>
      <c r="D386" t="s">
        <v>36</v>
      </c>
      <c r="E386" t="s">
        <v>39</v>
      </c>
      <c r="F386" s="3">
        <v>10000</v>
      </c>
      <c r="G386">
        <v>2</v>
      </c>
      <c r="H386" t="s">
        <v>19</v>
      </c>
      <c r="I386" t="s">
        <v>25</v>
      </c>
      <c r="J386" t="s">
        <v>15</v>
      </c>
      <c r="K386">
        <v>1</v>
      </c>
      <c r="L386" t="s">
        <v>16</v>
      </c>
      <c r="M386" t="s">
        <v>17</v>
      </c>
      <c r="N386">
        <v>50</v>
      </c>
      <c r="O386" t="str" cm="1">
        <f t="array" ref="O386">_xlfn.IFS(N386&gt;=54,"old",N386&gt;=31,"middle age",N386&gt;=18,"adolsent",N386&lt;18,"invalid")</f>
        <v>middle age</v>
      </c>
      <c r="P386" t="s">
        <v>15</v>
      </c>
    </row>
    <row r="387" spans="3:16" x14ac:dyDescent="0.3">
      <c r="C387">
        <v>17894</v>
      </c>
      <c r="D387" t="s">
        <v>36</v>
      </c>
      <c r="E387" t="s">
        <v>39</v>
      </c>
      <c r="F387" s="3">
        <v>20000</v>
      </c>
      <c r="G387">
        <v>1</v>
      </c>
      <c r="H387" t="s">
        <v>13</v>
      </c>
      <c r="I387" t="s">
        <v>20</v>
      </c>
      <c r="J387" t="s">
        <v>15</v>
      </c>
      <c r="K387">
        <v>0</v>
      </c>
      <c r="L387" t="s">
        <v>16</v>
      </c>
      <c r="M387" t="s">
        <v>17</v>
      </c>
      <c r="N387">
        <v>50</v>
      </c>
      <c r="O387" t="str" cm="1">
        <f t="array" ref="O387">_xlfn.IFS(N387&gt;=54,"old",N387&gt;=31,"middle age",N387&gt;=18,"adolsent",N387&lt;18,"invalid")</f>
        <v>middle age</v>
      </c>
      <c r="P387" t="s">
        <v>15</v>
      </c>
    </row>
    <row r="388" spans="3:16" x14ac:dyDescent="0.3">
      <c r="C388">
        <v>17907</v>
      </c>
      <c r="D388" t="s">
        <v>36</v>
      </c>
      <c r="E388" t="s">
        <v>39</v>
      </c>
      <c r="F388" s="3">
        <v>10000</v>
      </c>
      <c r="G388">
        <v>0</v>
      </c>
      <c r="H388" t="s">
        <v>19</v>
      </c>
      <c r="I388" t="s">
        <v>25</v>
      </c>
      <c r="J388" t="s">
        <v>15</v>
      </c>
      <c r="K388">
        <v>1</v>
      </c>
      <c r="L388" t="s">
        <v>22</v>
      </c>
      <c r="M388" t="s">
        <v>24</v>
      </c>
      <c r="N388">
        <v>27</v>
      </c>
      <c r="O388" t="str" cm="1">
        <f t="array" ref="O388">_xlfn.IFS(N388&gt;=54,"old",N388&gt;=31,"middle age",N388&gt;=18,"adolsent",N388&lt;18,"invalid")</f>
        <v>adolsent</v>
      </c>
      <c r="P388" t="s">
        <v>18</v>
      </c>
    </row>
    <row r="389" spans="3:16" x14ac:dyDescent="0.3">
      <c r="C389">
        <v>17926</v>
      </c>
      <c r="D389" t="s">
        <v>37</v>
      </c>
      <c r="E389" t="s">
        <v>39</v>
      </c>
      <c r="F389" s="3">
        <v>40000</v>
      </c>
      <c r="G389">
        <v>0</v>
      </c>
      <c r="H389" t="s">
        <v>13</v>
      </c>
      <c r="I389" t="s">
        <v>20</v>
      </c>
      <c r="J389" t="s">
        <v>18</v>
      </c>
      <c r="K389">
        <v>0</v>
      </c>
      <c r="L389" t="s">
        <v>16</v>
      </c>
      <c r="M389" t="s">
        <v>24</v>
      </c>
      <c r="N389">
        <v>28</v>
      </c>
      <c r="O389" t="str" cm="1">
        <f t="array" ref="O389">_xlfn.IFS(N389&gt;=54,"old",N389&gt;=31,"middle age",N389&gt;=18,"adolsent",N389&lt;18,"invalid")</f>
        <v>adolsent</v>
      </c>
      <c r="P389" t="s">
        <v>15</v>
      </c>
    </row>
    <row r="390" spans="3:16" x14ac:dyDescent="0.3">
      <c r="C390">
        <v>17960</v>
      </c>
      <c r="D390" t="s">
        <v>36</v>
      </c>
      <c r="E390" t="s">
        <v>39</v>
      </c>
      <c r="F390" s="3">
        <v>40000</v>
      </c>
      <c r="G390">
        <v>0</v>
      </c>
      <c r="H390" t="s">
        <v>31</v>
      </c>
      <c r="I390" t="s">
        <v>20</v>
      </c>
      <c r="J390" t="s">
        <v>15</v>
      </c>
      <c r="K390">
        <v>0</v>
      </c>
      <c r="L390" t="s">
        <v>16</v>
      </c>
      <c r="M390" t="s">
        <v>17</v>
      </c>
      <c r="N390">
        <v>35</v>
      </c>
      <c r="O390" t="str" cm="1">
        <f t="array" ref="O390">_xlfn.IFS(N390&gt;=54,"old",N390&gt;=31,"middle age",N390&gt;=18,"adolsent",N390&lt;18,"invalid")</f>
        <v>middle age</v>
      </c>
      <c r="P390" t="s">
        <v>15</v>
      </c>
    </row>
    <row r="391" spans="3:16" x14ac:dyDescent="0.3">
      <c r="C391">
        <v>17964</v>
      </c>
      <c r="D391" t="s">
        <v>36</v>
      </c>
      <c r="E391" t="s">
        <v>38</v>
      </c>
      <c r="F391" s="3">
        <v>40000</v>
      </c>
      <c r="G391">
        <v>0</v>
      </c>
      <c r="H391" t="s">
        <v>31</v>
      </c>
      <c r="I391" t="s">
        <v>20</v>
      </c>
      <c r="J391" t="s">
        <v>15</v>
      </c>
      <c r="K391">
        <v>0</v>
      </c>
      <c r="L391" t="s">
        <v>16</v>
      </c>
      <c r="M391" t="s">
        <v>17</v>
      </c>
      <c r="N391">
        <v>37</v>
      </c>
      <c r="O391" t="str" cm="1">
        <f t="array" ref="O391">_xlfn.IFS(N391&gt;=54,"old",N391&gt;=31,"middle age",N391&gt;=18,"adolsent",N391&lt;18,"invalid")</f>
        <v>middle age</v>
      </c>
      <c r="P391" t="s">
        <v>15</v>
      </c>
    </row>
    <row r="392" spans="3:16" x14ac:dyDescent="0.3">
      <c r="C392">
        <v>17978</v>
      </c>
      <c r="D392" t="s">
        <v>36</v>
      </c>
      <c r="E392" t="s">
        <v>38</v>
      </c>
      <c r="F392" s="3">
        <v>40000</v>
      </c>
      <c r="G392">
        <v>0</v>
      </c>
      <c r="H392" t="s">
        <v>31</v>
      </c>
      <c r="I392" t="s">
        <v>20</v>
      </c>
      <c r="J392" t="s">
        <v>15</v>
      </c>
      <c r="K392">
        <v>0</v>
      </c>
      <c r="L392" t="s">
        <v>16</v>
      </c>
      <c r="M392" t="s">
        <v>17</v>
      </c>
      <c r="N392">
        <v>37</v>
      </c>
      <c r="O392" t="str" cm="1">
        <f t="array" ref="O392">_xlfn.IFS(N392&gt;=54,"old",N392&gt;=31,"middle age",N392&gt;=18,"adolsent",N392&lt;18,"invalid")</f>
        <v>middle age</v>
      </c>
      <c r="P392" t="s">
        <v>15</v>
      </c>
    </row>
    <row r="393" spans="3:16" x14ac:dyDescent="0.3">
      <c r="C393">
        <v>17994</v>
      </c>
      <c r="D393" t="s">
        <v>37</v>
      </c>
      <c r="E393" t="s">
        <v>38</v>
      </c>
      <c r="F393" s="3">
        <v>20000</v>
      </c>
      <c r="G393">
        <v>2</v>
      </c>
      <c r="H393" t="s">
        <v>27</v>
      </c>
      <c r="I393" t="s">
        <v>25</v>
      </c>
      <c r="J393" t="s">
        <v>15</v>
      </c>
      <c r="K393">
        <v>2</v>
      </c>
      <c r="L393" t="s">
        <v>16</v>
      </c>
      <c r="M393" t="s">
        <v>17</v>
      </c>
      <c r="N393">
        <v>42</v>
      </c>
      <c r="O393" t="str" cm="1">
        <f t="array" ref="O393">_xlfn.IFS(N393&gt;=54,"old",N393&gt;=31,"middle age",N393&gt;=18,"adolsent",N393&lt;18,"invalid")</f>
        <v>middle age</v>
      </c>
      <c r="P393" t="s">
        <v>18</v>
      </c>
    </row>
    <row r="394" spans="3:16" x14ac:dyDescent="0.3">
      <c r="C394">
        <v>18012</v>
      </c>
      <c r="D394" t="s">
        <v>36</v>
      </c>
      <c r="E394" t="s">
        <v>39</v>
      </c>
      <c r="F394" s="3">
        <v>40000</v>
      </c>
      <c r="G394">
        <v>1</v>
      </c>
      <c r="H394" t="s">
        <v>13</v>
      </c>
      <c r="I394" t="s">
        <v>14</v>
      </c>
      <c r="J394" t="s">
        <v>15</v>
      </c>
      <c r="K394">
        <v>0</v>
      </c>
      <c r="L394" t="s">
        <v>16</v>
      </c>
      <c r="M394" t="s">
        <v>17</v>
      </c>
      <c r="N394">
        <v>41</v>
      </c>
      <c r="O394" t="str" cm="1">
        <f t="array" ref="O394">_xlfn.IFS(N394&gt;=54,"old",N394&gt;=31,"middle age",N394&gt;=18,"adolsent",N394&lt;18,"invalid")</f>
        <v>middle age</v>
      </c>
      <c r="P394" t="s">
        <v>18</v>
      </c>
    </row>
    <row r="395" spans="3:16" x14ac:dyDescent="0.3">
      <c r="C395">
        <v>18018</v>
      </c>
      <c r="D395" t="s">
        <v>37</v>
      </c>
      <c r="E395" t="s">
        <v>38</v>
      </c>
      <c r="F395" s="3">
        <v>30000</v>
      </c>
      <c r="G395">
        <v>3</v>
      </c>
      <c r="H395" t="s">
        <v>19</v>
      </c>
      <c r="I395" t="s">
        <v>20</v>
      </c>
      <c r="J395" t="s">
        <v>15</v>
      </c>
      <c r="K395">
        <v>0</v>
      </c>
      <c r="L395" t="s">
        <v>16</v>
      </c>
      <c r="M395" t="s">
        <v>17</v>
      </c>
      <c r="N395">
        <v>43</v>
      </c>
      <c r="O395" t="str" cm="1">
        <f t="array" ref="O395">_xlfn.IFS(N395&gt;=54,"old",N395&gt;=31,"middle age",N395&gt;=18,"adolsent",N395&lt;18,"invalid")</f>
        <v>middle age</v>
      </c>
      <c r="P395" t="s">
        <v>18</v>
      </c>
    </row>
    <row r="396" spans="3:16" x14ac:dyDescent="0.3">
      <c r="C396">
        <v>18050</v>
      </c>
      <c r="D396" t="s">
        <v>36</v>
      </c>
      <c r="E396" t="s">
        <v>39</v>
      </c>
      <c r="F396" s="3">
        <v>60000</v>
      </c>
      <c r="G396">
        <v>1</v>
      </c>
      <c r="H396" t="s">
        <v>19</v>
      </c>
      <c r="I396" t="s">
        <v>14</v>
      </c>
      <c r="J396" t="s">
        <v>15</v>
      </c>
      <c r="K396">
        <v>1</v>
      </c>
      <c r="L396" t="s">
        <v>16</v>
      </c>
      <c r="M396" t="s">
        <v>32</v>
      </c>
      <c r="N396">
        <v>45</v>
      </c>
      <c r="O396" t="str" cm="1">
        <f t="array" ref="O396">_xlfn.IFS(N396&gt;=54,"old",N396&gt;=31,"middle age",N396&gt;=18,"adolsent",N396&lt;18,"invalid")</f>
        <v>middle age</v>
      </c>
      <c r="P396" t="s">
        <v>15</v>
      </c>
    </row>
    <row r="397" spans="3:16" x14ac:dyDescent="0.3">
      <c r="C397">
        <v>18052</v>
      </c>
      <c r="D397" t="s">
        <v>36</v>
      </c>
      <c r="E397" t="s">
        <v>39</v>
      </c>
      <c r="F397" s="3">
        <v>60000</v>
      </c>
      <c r="G397">
        <v>1</v>
      </c>
      <c r="H397" t="s">
        <v>19</v>
      </c>
      <c r="I397" t="s">
        <v>14</v>
      </c>
      <c r="J397" t="s">
        <v>15</v>
      </c>
      <c r="K397">
        <v>1</v>
      </c>
      <c r="L397" t="s">
        <v>16</v>
      </c>
      <c r="M397" t="s">
        <v>32</v>
      </c>
      <c r="N397">
        <v>45</v>
      </c>
      <c r="O397" t="str" cm="1">
        <f t="array" ref="O397">_xlfn.IFS(N397&gt;=54,"old",N397&gt;=31,"middle age",N397&gt;=18,"adolsent",N397&lt;18,"invalid")</f>
        <v>middle age</v>
      </c>
      <c r="P397" t="s">
        <v>15</v>
      </c>
    </row>
    <row r="398" spans="3:16" x14ac:dyDescent="0.3">
      <c r="C398">
        <v>18058</v>
      </c>
      <c r="D398" t="s">
        <v>37</v>
      </c>
      <c r="E398" t="s">
        <v>39</v>
      </c>
      <c r="F398" s="3">
        <v>20000</v>
      </c>
      <c r="G398">
        <v>3</v>
      </c>
      <c r="H398" t="s">
        <v>27</v>
      </c>
      <c r="I398" t="s">
        <v>14</v>
      </c>
      <c r="J398" t="s">
        <v>15</v>
      </c>
      <c r="K398">
        <v>2</v>
      </c>
      <c r="L398" t="s">
        <v>22</v>
      </c>
      <c r="M398" t="s">
        <v>32</v>
      </c>
      <c r="N398">
        <v>78</v>
      </c>
      <c r="O398" t="str" cm="1">
        <f t="array" ref="O398">_xlfn.IFS(N398&gt;=54,"old",N398&gt;=31,"middle age",N398&gt;=18,"adolsent",N398&lt;18,"invalid")</f>
        <v>old</v>
      </c>
      <c r="P398" t="s">
        <v>18</v>
      </c>
    </row>
    <row r="399" spans="3:16" x14ac:dyDescent="0.3">
      <c r="C399">
        <v>18066</v>
      </c>
      <c r="D399" t="s">
        <v>37</v>
      </c>
      <c r="E399" t="s">
        <v>38</v>
      </c>
      <c r="F399" s="3">
        <v>70000</v>
      </c>
      <c r="G399">
        <v>5</v>
      </c>
      <c r="H399" t="s">
        <v>13</v>
      </c>
      <c r="I399" t="s">
        <v>28</v>
      </c>
      <c r="J399" t="s">
        <v>15</v>
      </c>
      <c r="K399">
        <v>3</v>
      </c>
      <c r="L399" t="s">
        <v>30</v>
      </c>
      <c r="M399" t="s">
        <v>32</v>
      </c>
      <c r="N399">
        <v>60</v>
      </c>
      <c r="O399" t="str" cm="1">
        <f t="array" ref="O399">_xlfn.IFS(N399&gt;=54,"old",N399&gt;=31,"middle age",N399&gt;=18,"adolsent",N399&lt;18,"invalid")</f>
        <v>old</v>
      </c>
      <c r="P399" t="s">
        <v>15</v>
      </c>
    </row>
    <row r="400" spans="3:16" x14ac:dyDescent="0.3">
      <c r="C400">
        <v>18069</v>
      </c>
      <c r="D400" t="s">
        <v>36</v>
      </c>
      <c r="E400" t="s">
        <v>38</v>
      </c>
      <c r="F400" s="3">
        <v>70000</v>
      </c>
      <c r="G400">
        <v>5</v>
      </c>
      <c r="H400" t="s">
        <v>13</v>
      </c>
      <c r="I400" t="s">
        <v>28</v>
      </c>
      <c r="J400" t="s">
        <v>15</v>
      </c>
      <c r="K400">
        <v>4</v>
      </c>
      <c r="L400" t="s">
        <v>30</v>
      </c>
      <c r="M400" t="s">
        <v>32</v>
      </c>
      <c r="N400">
        <v>60</v>
      </c>
      <c r="O400" t="str" cm="1">
        <f t="array" ref="O400">_xlfn.IFS(N400&gt;=54,"old",N400&gt;=31,"middle age",N400&gt;=18,"adolsent",N400&lt;18,"invalid")</f>
        <v>old</v>
      </c>
      <c r="P400" t="s">
        <v>18</v>
      </c>
    </row>
    <row r="401" spans="3:16" x14ac:dyDescent="0.3">
      <c r="C401">
        <v>18105</v>
      </c>
      <c r="D401" t="s">
        <v>36</v>
      </c>
      <c r="E401" t="s">
        <v>39</v>
      </c>
      <c r="F401" s="3">
        <v>60000</v>
      </c>
      <c r="G401">
        <v>2</v>
      </c>
      <c r="H401" t="s">
        <v>19</v>
      </c>
      <c r="I401" t="s">
        <v>21</v>
      </c>
      <c r="J401" t="s">
        <v>15</v>
      </c>
      <c r="K401">
        <v>1</v>
      </c>
      <c r="L401" t="s">
        <v>30</v>
      </c>
      <c r="M401" t="s">
        <v>32</v>
      </c>
      <c r="N401">
        <v>55</v>
      </c>
      <c r="O401" t="str" cm="1">
        <f t="array" ref="O401">_xlfn.IFS(N401&gt;=54,"old",N401&gt;=31,"middle age",N401&gt;=18,"adolsent",N401&lt;18,"invalid")</f>
        <v>old</v>
      </c>
      <c r="P401" t="s">
        <v>18</v>
      </c>
    </row>
    <row r="402" spans="3:16" x14ac:dyDescent="0.3">
      <c r="C402">
        <v>18140</v>
      </c>
      <c r="D402" t="s">
        <v>36</v>
      </c>
      <c r="E402" t="s">
        <v>38</v>
      </c>
      <c r="F402" s="3">
        <v>130000</v>
      </c>
      <c r="G402">
        <v>3</v>
      </c>
      <c r="H402" t="s">
        <v>19</v>
      </c>
      <c r="I402" t="s">
        <v>21</v>
      </c>
      <c r="J402" t="s">
        <v>18</v>
      </c>
      <c r="K402">
        <v>3</v>
      </c>
      <c r="L402" t="s">
        <v>23</v>
      </c>
      <c r="M402" t="s">
        <v>17</v>
      </c>
      <c r="N402">
        <v>51</v>
      </c>
      <c r="O402" t="str" cm="1">
        <f t="array" ref="O402">_xlfn.IFS(N402&gt;=54,"old",N402&gt;=31,"middle age",N402&gt;=18,"adolsent",N402&lt;18,"invalid")</f>
        <v>middle age</v>
      </c>
      <c r="P402" t="s">
        <v>15</v>
      </c>
    </row>
    <row r="403" spans="3:16" x14ac:dyDescent="0.3">
      <c r="C403">
        <v>18144</v>
      </c>
      <c r="D403" t="s">
        <v>36</v>
      </c>
      <c r="E403" t="s">
        <v>39</v>
      </c>
      <c r="F403" s="3">
        <v>80000</v>
      </c>
      <c r="G403">
        <v>5</v>
      </c>
      <c r="H403" t="s">
        <v>13</v>
      </c>
      <c r="I403" t="s">
        <v>28</v>
      </c>
      <c r="J403" t="s">
        <v>15</v>
      </c>
      <c r="K403">
        <v>2</v>
      </c>
      <c r="L403" t="s">
        <v>22</v>
      </c>
      <c r="M403" t="s">
        <v>17</v>
      </c>
      <c r="N403">
        <v>61</v>
      </c>
      <c r="O403" t="str" cm="1">
        <f t="array" ref="O403">_xlfn.IFS(N403&gt;=54,"old",N403&gt;=31,"middle age",N403&gt;=18,"adolsent",N403&lt;18,"invalid")</f>
        <v>old</v>
      </c>
      <c r="P403" t="s">
        <v>18</v>
      </c>
    </row>
    <row r="404" spans="3:16" x14ac:dyDescent="0.3">
      <c r="C404">
        <v>18145</v>
      </c>
      <c r="D404" t="s">
        <v>36</v>
      </c>
      <c r="E404" t="s">
        <v>38</v>
      </c>
      <c r="F404" s="3">
        <v>80000</v>
      </c>
      <c r="G404">
        <v>5</v>
      </c>
      <c r="H404" t="s">
        <v>13</v>
      </c>
      <c r="I404" t="s">
        <v>28</v>
      </c>
      <c r="J404" t="s">
        <v>18</v>
      </c>
      <c r="K404">
        <v>2</v>
      </c>
      <c r="L404" t="s">
        <v>22</v>
      </c>
      <c r="M404" t="s">
        <v>17</v>
      </c>
      <c r="N404">
        <v>62</v>
      </c>
      <c r="O404" t="str" cm="1">
        <f t="array" ref="O404">_xlfn.IFS(N404&gt;=54,"old",N404&gt;=31,"middle age",N404&gt;=18,"adolsent",N404&lt;18,"invalid")</f>
        <v>old</v>
      </c>
      <c r="P404" t="s">
        <v>18</v>
      </c>
    </row>
    <row r="405" spans="3:16" x14ac:dyDescent="0.3">
      <c r="C405">
        <v>18151</v>
      </c>
      <c r="D405" t="s">
        <v>37</v>
      </c>
      <c r="E405" t="s">
        <v>38</v>
      </c>
      <c r="F405" s="3">
        <v>80000</v>
      </c>
      <c r="G405">
        <v>5</v>
      </c>
      <c r="H405" t="s">
        <v>19</v>
      </c>
      <c r="I405" t="s">
        <v>21</v>
      </c>
      <c r="J405" t="s">
        <v>18</v>
      </c>
      <c r="K405">
        <v>2</v>
      </c>
      <c r="L405" t="s">
        <v>30</v>
      </c>
      <c r="M405" t="s">
        <v>17</v>
      </c>
      <c r="N405">
        <v>59</v>
      </c>
      <c r="O405" t="str" cm="1">
        <f t="array" ref="O405">_xlfn.IFS(N405&gt;=54,"old",N405&gt;=31,"middle age",N405&gt;=18,"adolsent",N405&lt;18,"invalid")</f>
        <v>old</v>
      </c>
      <c r="P405" t="s">
        <v>18</v>
      </c>
    </row>
    <row r="406" spans="3:16" x14ac:dyDescent="0.3">
      <c r="C406">
        <v>18153</v>
      </c>
      <c r="D406" t="s">
        <v>36</v>
      </c>
      <c r="E406" t="s">
        <v>39</v>
      </c>
      <c r="F406" s="3">
        <v>100000</v>
      </c>
      <c r="G406">
        <v>2</v>
      </c>
      <c r="H406" t="s">
        <v>13</v>
      </c>
      <c r="I406" t="s">
        <v>28</v>
      </c>
      <c r="J406" t="s">
        <v>15</v>
      </c>
      <c r="K406">
        <v>4</v>
      </c>
      <c r="L406" t="s">
        <v>30</v>
      </c>
      <c r="M406" t="s">
        <v>17</v>
      </c>
      <c r="N406">
        <v>59</v>
      </c>
      <c r="O406" t="str" cm="1">
        <f t="array" ref="O406">_xlfn.IFS(N406&gt;=54,"old",N406&gt;=31,"middle age",N406&gt;=18,"adolsent",N406&lt;18,"invalid")</f>
        <v>old</v>
      </c>
      <c r="P406" t="s">
        <v>18</v>
      </c>
    </row>
    <row r="407" spans="3:16" x14ac:dyDescent="0.3">
      <c r="C407">
        <v>18160</v>
      </c>
      <c r="D407" t="s">
        <v>36</v>
      </c>
      <c r="E407" t="s">
        <v>38</v>
      </c>
      <c r="F407" s="3">
        <v>130000</v>
      </c>
      <c r="G407">
        <v>3</v>
      </c>
      <c r="H407" t="s">
        <v>27</v>
      </c>
      <c r="I407" t="s">
        <v>21</v>
      </c>
      <c r="J407" t="s">
        <v>15</v>
      </c>
      <c r="K407">
        <v>4</v>
      </c>
      <c r="L407" t="s">
        <v>23</v>
      </c>
      <c r="M407" t="s">
        <v>17</v>
      </c>
      <c r="N407">
        <v>51</v>
      </c>
      <c r="O407" t="str" cm="1">
        <f t="array" ref="O407">_xlfn.IFS(N407&gt;=54,"old",N407&gt;=31,"middle age",N407&gt;=18,"adolsent",N407&lt;18,"invalid")</f>
        <v>middle age</v>
      </c>
      <c r="P407" t="s">
        <v>15</v>
      </c>
    </row>
    <row r="408" spans="3:16" x14ac:dyDescent="0.3">
      <c r="C408">
        <v>18172</v>
      </c>
      <c r="D408" t="s">
        <v>36</v>
      </c>
      <c r="E408" t="s">
        <v>38</v>
      </c>
      <c r="F408" s="3">
        <v>130000</v>
      </c>
      <c r="G408">
        <v>4</v>
      </c>
      <c r="H408" t="s">
        <v>27</v>
      </c>
      <c r="I408" t="s">
        <v>21</v>
      </c>
      <c r="J408" t="s">
        <v>15</v>
      </c>
      <c r="K408">
        <v>3</v>
      </c>
      <c r="L408" t="s">
        <v>16</v>
      </c>
      <c r="M408" t="s">
        <v>17</v>
      </c>
      <c r="N408">
        <v>55</v>
      </c>
      <c r="O408" t="str" cm="1">
        <f t="array" ref="O408">_xlfn.IFS(N408&gt;=54,"old",N408&gt;=31,"middle age",N408&gt;=18,"adolsent",N408&lt;18,"invalid")</f>
        <v>old</v>
      </c>
      <c r="P408" t="s">
        <v>18</v>
      </c>
    </row>
    <row r="409" spans="3:16" x14ac:dyDescent="0.3">
      <c r="C409">
        <v>18253</v>
      </c>
      <c r="D409" t="s">
        <v>36</v>
      </c>
      <c r="E409" t="s">
        <v>39</v>
      </c>
      <c r="F409" s="3">
        <v>80000</v>
      </c>
      <c r="G409">
        <v>5</v>
      </c>
      <c r="H409" t="s">
        <v>31</v>
      </c>
      <c r="I409" t="s">
        <v>28</v>
      </c>
      <c r="J409" t="s">
        <v>15</v>
      </c>
      <c r="K409">
        <v>3</v>
      </c>
      <c r="L409" t="s">
        <v>16</v>
      </c>
      <c r="M409" t="s">
        <v>24</v>
      </c>
      <c r="N409">
        <v>40</v>
      </c>
      <c r="O409" t="str" cm="1">
        <f t="array" ref="O409">_xlfn.IFS(N409&gt;=54,"old",N409&gt;=31,"middle age",N409&gt;=18,"adolsent",N409&lt;18,"invalid")</f>
        <v>middle age</v>
      </c>
      <c r="P409" t="s">
        <v>18</v>
      </c>
    </row>
    <row r="410" spans="3:16" x14ac:dyDescent="0.3">
      <c r="C410">
        <v>18267</v>
      </c>
      <c r="D410" t="s">
        <v>36</v>
      </c>
      <c r="E410" t="s">
        <v>38</v>
      </c>
      <c r="F410" s="3">
        <v>60000</v>
      </c>
      <c r="G410">
        <v>3</v>
      </c>
      <c r="H410" t="s">
        <v>13</v>
      </c>
      <c r="I410" t="s">
        <v>21</v>
      </c>
      <c r="J410" t="s">
        <v>15</v>
      </c>
      <c r="K410">
        <v>2</v>
      </c>
      <c r="L410" t="s">
        <v>23</v>
      </c>
      <c r="M410" t="s">
        <v>24</v>
      </c>
      <c r="N410">
        <v>43</v>
      </c>
      <c r="O410" t="str" cm="1">
        <f t="array" ref="O410">_xlfn.IFS(N410&gt;=54,"old",N410&gt;=31,"middle age",N410&gt;=18,"adolsent",N410&lt;18,"invalid")</f>
        <v>middle age</v>
      </c>
      <c r="P410" t="s">
        <v>18</v>
      </c>
    </row>
    <row r="411" spans="3:16" x14ac:dyDescent="0.3">
      <c r="C411">
        <v>18283</v>
      </c>
      <c r="D411" t="s">
        <v>37</v>
      </c>
      <c r="E411" t="s">
        <v>39</v>
      </c>
      <c r="F411" s="3">
        <v>100000</v>
      </c>
      <c r="G411">
        <v>0</v>
      </c>
      <c r="H411" t="s">
        <v>13</v>
      </c>
      <c r="I411" t="s">
        <v>21</v>
      </c>
      <c r="J411" t="s">
        <v>18</v>
      </c>
      <c r="K411">
        <v>1</v>
      </c>
      <c r="L411" t="s">
        <v>23</v>
      </c>
      <c r="M411" t="s">
        <v>24</v>
      </c>
      <c r="N411">
        <v>40</v>
      </c>
      <c r="O411" t="str" cm="1">
        <f t="array" ref="O411">_xlfn.IFS(N411&gt;=54,"old",N411&gt;=31,"middle age",N411&gt;=18,"adolsent",N411&lt;18,"invalid")</f>
        <v>middle age</v>
      </c>
      <c r="P411" t="s">
        <v>18</v>
      </c>
    </row>
    <row r="412" spans="3:16" x14ac:dyDescent="0.3">
      <c r="C412">
        <v>18294</v>
      </c>
      <c r="D412" t="s">
        <v>36</v>
      </c>
      <c r="E412" t="s">
        <v>39</v>
      </c>
      <c r="F412" s="3">
        <v>90000</v>
      </c>
      <c r="G412">
        <v>1</v>
      </c>
      <c r="H412" t="s">
        <v>13</v>
      </c>
      <c r="I412" t="s">
        <v>21</v>
      </c>
      <c r="J412" t="s">
        <v>15</v>
      </c>
      <c r="K412">
        <v>1</v>
      </c>
      <c r="L412" t="s">
        <v>23</v>
      </c>
      <c r="M412" t="s">
        <v>24</v>
      </c>
      <c r="N412">
        <v>46</v>
      </c>
      <c r="O412" t="str" cm="1">
        <f t="array" ref="O412">_xlfn.IFS(N412&gt;=54,"old",N412&gt;=31,"middle age",N412&gt;=18,"adolsent",N412&lt;18,"invalid")</f>
        <v>middle age</v>
      </c>
      <c r="P412" t="s">
        <v>18</v>
      </c>
    </row>
    <row r="413" spans="3:16" x14ac:dyDescent="0.3">
      <c r="C413">
        <v>18299</v>
      </c>
      <c r="D413" t="s">
        <v>36</v>
      </c>
      <c r="E413" t="s">
        <v>38</v>
      </c>
      <c r="F413" s="3">
        <v>70000</v>
      </c>
      <c r="G413">
        <v>5</v>
      </c>
      <c r="H413" t="s">
        <v>19</v>
      </c>
      <c r="I413" t="s">
        <v>14</v>
      </c>
      <c r="J413" t="s">
        <v>15</v>
      </c>
      <c r="K413">
        <v>2</v>
      </c>
      <c r="L413" t="s">
        <v>23</v>
      </c>
      <c r="M413" t="s">
        <v>24</v>
      </c>
      <c r="N413">
        <v>44</v>
      </c>
      <c r="O413" t="str" cm="1">
        <f t="array" ref="O413">_xlfn.IFS(N413&gt;=54,"old",N413&gt;=31,"middle age",N413&gt;=18,"adolsent",N413&lt;18,"invalid")</f>
        <v>middle age</v>
      </c>
      <c r="P413" t="s">
        <v>18</v>
      </c>
    </row>
    <row r="414" spans="3:16" x14ac:dyDescent="0.3">
      <c r="C414">
        <v>18322</v>
      </c>
      <c r="D414" t="s">
        <v>37</v>
      </c>
      <c r="E414" t="s">
        <v>38</v>
      </c>
      <c r="F414" s="3">
        <v>30000</v>
      </c>
      <c r="G414">
        <v>0</v>
      </c>
      <c r="H414" t="s">
        <v>29</v>
      </c>
      <c r="I414" t="s">
        <v>20</v>
      </c>
      <c r="J414" t="s">
        <v>18</v>
      </c>
      <c r="K414">
        <v>2</v>
      </c>
      <c r="L414" t="s">
        <v>16</v>
      </c>
      <c r="M414" t="s">
        <v>32</v>
      </c>
      <c r="N414">
        <v>26</v>
      </c>
      <c r="O414" t="str" cm="1">
        <f t="array" ref="O414">_xlfn.IFS(N414&gt;=54,"old",N414&gt;=31,"middle age",N414&gt;=18,"adolsent",N414&lt;18,"invalid")</f>
        <v>adolsent</v>
      </c>
      <c r="P414" t="s">
        <v>18</v>
      </c>
    </row>
    <row r="415" spans="3:16" x14ac:dyDescent="0.3">
      <c r="C415">
        <v>18329</v>
      </c>
      <c r="D415" t="s">
        <v>37</v>
      </c>
      <c r="E415" t="s">
        <v>38</v>
      </c>
      <c r="F415" s="3">
        <v>30000</v>
      </c>
      <c r="G415">
        <v>0</v>
      </c>
      <c r="H415" t="s">
        <v>29</v>
      </c>
      <c r="I415" t="s">
        <v>20</v>
      </c>
      <c r="J415" t="s">
        <v>18</v>
      </c>
      <c r="K415">
        <v>2</v>
      </c>
      <c r="L415" t="s">
        <v>23</v>
      </c>
      <c r="M415" t="s">
        <v>32</v>
      </c>
      <c r="N415">
        <v>27</v>
      </c>
      <c r="O415" t="str" cm="1">
        <f t="array" ref="O415">_xlfn.IFS(N415&gt;=54,"old",N415&gt;=31,"middle age",N415&gt;=18,"adolsent",N415&lt;18,"invalid")</f>
        <v>adolsent</v>
      </c>
      <c r="P415" t="s">
        <v>18</v>
      </c>
    </row>
    <row r="416" spans="3:16" x14ac:dyDescent="0.3">
      <c r="C416">
        <v>18347</v>
      </c>
      <c r="D416" t="s">
        <v>37</v>
      </c>
      <c r="E416" t="s">
        <v>39</v>
      </c>
      <c r="F416" s="3">
        <v>30000</v>
      </c>
      <c r="G416">
        <v>0</v>
      </c>
      <c r="H416" t="s">
        <v>19</v>
      </c>
      <c r="I416" t="s">
        <v>14</v>
      </c>
      <c r="J416" t="s">
        <v>18</v>
      </c>
      <c r="K416">
        <v>1</v>
      </c>
      <c r="L416" t="s">
        <v>26</v>
      </c>
      <c r="M416" t="s">
        <v>32</v>
      </c>
      <c r="N416">
        <v>31</v>
      </c>
      <c r="O416" t="str" cm="1">
        <f t="array" ref="O416">_xlfn.IFS(N416&gt;=54,"old",N416&gt;=31,"middle age",N416&gt;=18,"adolsent",N416&lt;18,"invalid")</f>
        <v>middle age</v>
      </c>
      <c r="P416" t="s">
        <v>18</v>
      </c>
    </row>
    <row r="417" spans="3:16" x14ac:dyDescent="0.3">
      <c r="C417">
        <v>18363</v>
      </c>
      <c r="D417" t="s">
        <v>36</v>
      </c>
      <c r="E417" t="s">
        <v>38</v>
      </c>
      <c r="F417" s="3">
        <v>40000</v>
      </c>
      <c r="G417">
        <v>0</v>
      </c>
      <c r="H417" t="s">
        <v>27</v>
      </c>
      <c r="I417" t="s">
        <v>14</v>
      </c>
      <c r="J417" t="s">
        <v>15</v>
      </c>
      <c r="K417">
        <v>2</v>
      </c>
      <c r="L417" t="s">
        <v>23</v>
      </c>
      <c r="M417" t="s">
        <v>32</v>
      </c>
      <c r="N417">
        <v>28</v>
      </c>
      <c r="O417" t="str" cm="1">
        <f t="array" ref="O417">_xlfn.IFS(N417&gt;=54,"old",N417&gt;=31,"middle age",N417&gt;=18,"adolsent",N417&lt;18,"invalid")</f>
        <v>adolsent</v>
      </c>
      <c r="P417" t="s">
        <v>15</v>
      </c>
    </row>
    <row r="418" spans="3:16" x14ac:dyDescent="0.3">
      <c r="C418">
        <v>18390</v>
      </c>
      <c r="D418" t="s">
        <v>36</v>
      </c>
      <c r="E418" t="s">
        <v>38</v>
      </c>
      <c r="F418" s="3">
        <v>80000</v>
      </c>
      <c r="G418">
        <v>5</v>
      </c>
      <c r="H418" t="s">
        <v>19</v>
      </c>
      <c r="I418" t="s">
        <v>21</v>
      </c>
      <c r="J418" t="s">
        <v>15</v>
      </c>
      <c r="K418">
        <v>2</v>
      </c>
      <c r="L418" t="s">
        <v>16</v>
      </c>
      <c r="M418" t="s">
        <v>32</v>
      </c>
      <c r="N418">
        <v>44</v>
      </c>
      <c r="O418" t="str" cm="1">
        <f t="array" ref="O418">_xlfn.IFS(N418&gt;=54,"old",N418&gt;=31,"middle age",N418&gt;=18,"adolsent",N418&lt;18,"invalid")</f>
        <v>middle age</v>
      </c>
      <c r="P418" t="s">
        <v>18</v>
      </c>
    </row>
    <row r="419" spans="3:16" x14ac:dyDescent="0.3">
      <c r="C419">
        <v>18391</v>
      </c>
      <c r="D419" t="s">
        <v>37</v>
      </c>
      <c r="E419" t="s">
        <v>39</v>
      </c>
      <c r="F419" s="3">
        <v>80000</v>
      </c>
      <c r="G419">
        <v>5</v>
      </c>
      <c r="H419" t="s">
        <v>19</v>
      </c>
      <c r="I419" t="s">
        <v>21</v>
      </c>
      <c r="J419" t="s">
        <v>15</v>
      </c>
      <c r="K419">
        <v>2</v>
      </c>
      <c r="L419" t="s">
        <v>23</v>
      </c>
      <c r="M419" t="s">
        <v>32</v>
      </c>
      <c r="N419">
        <v>44</v>
      </c>
      <c r="O419" t="str" cm="1">
        <f t="array" ref="O419">_xlfn.IFS(N419&gt;=54,"old",N419&gt;=31,"middle age",N419&gt;=18,"adolsent",N419&lt;18,"invalid")</f>
        <v>middle age</v>
      </c>
      <c r="P419" t="s">
        <v>18</v>
      </c>
    </row>
    <row r="420" spans="3:16" x14ac:dyDescent="0.3">
      <c r="C420">
        <v>18411</v>
      </c>
      <c r="D420" t="s">
        <v>36</v>
      </c>
      <c r="E420" t="s">
        <v>38</v>
      </c>
      <c r="F420" s="3">
        <v>60000</v>
      </c>
      <c r="G420">
        <v>2</v>
      </c>
      <c r="H420" t="s">
        <v>27</v>
      </c>
      <c r="I420" t="s">
        <v>21</v>
      </c>
      <c r="J420" t="s">
        <v>18</v>
      </c>
      <c r="K420">
        <v>2</v>
      </c>
      <c r="L420" t="s">
        <v>23</v>
      </c>
      <c r="M420" t="s">
        <v>32</v>
      </c>
      <c r="N420">
        <v>51</v>
      </c>
      <c r="O420" t="str" cm="1">
        <f t="array" ref="O420">_xlfn.IFS(N420&gt;=54,"old",N420&gt;=31,"middle age",N420&gt;=18,"adolsent",N420&lt;18,"invalid")</f>
        <v>middle age</v>
      </c>
      <c r="P420" t="s">
        <v>18</v>
      </c>
    </row>
    <row r="421" spans="3:16" x14ac:dyDescent="0.3">
      <c r="C421">
        <v>18423</v>
      </c>
      <c r="D421" t="s">
        <v>37</v>
      </c>
      <c r="E421" t="s">
        <v>38</v>
      </c>
      <c r="F421" s="3">
        <v>80000</v>
      </c>
      <c r="G421">
        <v>2</v>
      </c>
      <c r="H421" t="s">
        <v>29</v>
      </c>
      <c r="I421" t="s">
        <v>14</v>
      </c>
      <c r="J421" t="s">
        <v>18</v>
      </c>
      <c r="K421">
        <v>2</v>
      </c>
      <c r="L421" t="s">
        <v>26</v>
      </c>
      <c r="M421" t="s">
        <v>32</v>
      </c>
      <c r="N421">
        <v>52</v>
      </c>
      <c r="O421" t="str" cm="1">
        <f t="array" ref="O421">_xlfn.IFS(N421&gt;=54,"old",N421&gt;=31,"middle age",N421&gt;=18,"adolsent",N421&lt;18,"invalid")</f>
        <v>middle age</v>
      </c>
      <c r="P421" t="s">
        <v>18</v>
      </c>
    </row>
    <row r="422" spans="3:16" x14ac:dyDescent="0.3">
      <c r="C422">
        <v>18435</v>
      </c>
      <c r="D422" t="s">
        <v>37</v>
      </c>
      <c r="E422" t="s">
        <v>39</v>
      </c>
      <c r="F422" s="3">
        <v>70000</v>
      </c>
      <c r="G422">
        <v>5</v>
      </c>
      <c r="H422" t="s">
        <v>31</v>
      </c>
      <c r="I422" t="s">
        <v>28</v>
      </c>
      <c r="J422" t="s">
        <v>15</v>
      </c>
      <c r="K422">
        <v>2</v>
      </c>
      <c r="L422" t="s">
        <v>30</v>
      </c>
      <c r="M422" t="s">
        <v>32</v>
      </c>
      <c r="N422">
        <v>67</v>
      </c>
      <c r="O422" t="str" cm="1">
        <f t="array" ref="O422">_xlfn.IFS(N422&gt;=54,"old",N422&gt;=31,"middle age",N422&gt;=18,"adolsent",N422&lt;18,"invalid")</f>
        <v>old</v>
      </c>
      <c r="P422" t="s">
        <v>15</v>
      </c>
    </row>
    <row r="423" spans="3:16" x14ac:dyDescent="0.3">
      <c r="C423">
        <v>18484</v>
      </c>
      <c r="D423" t="s">
        <v>37</v>
      </c>
      <c r="E423" t="s">
        <v>38</v>
      </c>
      <c r="F423" s="3">
        <v>80000</v>
      </c>
      <c r="G423">
        <v>2</v>
      </c>
      <c r="H423" t="s">
        <v>27</v>
      </c>
      <c r="I423" t="s">
        <v>14</v>
      </c>
      <c r="J423" t="s">
        <v>18</v>
      </c>
      <c r="K423">
        <v>2</v>
      </c>
      <c r="L423" t="s">
        <v>26</v>
      </c>
      <c r="M423" t="s">
        <v>24</v>
      </c>
      <c r="N423">
        <v>50</v>
      </c>
      <c r="O423" t="str" cm="1">
        <f t="array" ref="O423">_xlfn.IFS(N423&gt;=54,"old",N423&gt;=31,"middle age",N423&gt;=18,"adolsent",N423&lt;18,"invalid")</f>
        <v>middle age</v>
      </c>
      <c r="P423" t="s">
        <v>15</v>
      </c>
    </row>
    <row r="424" spans="3:16" x14ac:dyDescent="0.3">
      <c r="C424">
        <v>18491</v>
      </c>
      <c r="D424" t="s">
        <v>37</v>
      </c>
      <c r="E424" t="s">
        <v>39</v>
      </c>
      <c r="F424" s="3">
        <v>70000</v>
      </c>
      <c r="G424">
        <v>2</v>
      </c>
      <c r="H424" t="s">
        <v>27</v>
      </c>
      <c r="I424" t="s">
        <v>21</v>
      </c>
      <c r="J424" t="s">
        <v>15</v>
      </c>
      <c r="K424">
        <v>2</v>
      </c>
      <c r="L424" t="s">
        <v>23</v>
      </c>
      <c r="M424" t="s">
        <v>24</v>
      </c>
      <c r="N424">
        <v>49</v>
      </c>
      <c r="O424" t="str" cm="1">
        <f t="array" ref="O424">_xlfn.IFS(N424&gt;=54,"old",N424&gt;=31,"middle age",N424&gt;=18,"adolsent",N424&lt;18,"invalid")</f>
        <v>middle age</v>
      </c>
      <c r="P424" t="s">
        <v>15</v>
      </c>
    </row>
    <row r="425" spans="3:16" x14ac:dyDescent="0.3">
      <c r="C425">
        <v>18494</v>
      </c>
      <c r="D425" t="s">
        <v>36</v>
      </c>
      <c r="E425" t="s">
        <v>38</v>
      </c>
      <c r="F425" s="3">
        <v>110000</v>
      </c>
      <c r="G425">
        <v>5</v>
      </c>
      <c r="H425" t="s">
        <v>13</v>
      </c>
      <c r="I425" t="s">
        <v>28</v>
      </c>
      <c r="J425" t="s">
        <v>15</v>
      </c>
      <c r="K425">
        <v>4</v>
      </c>
      <c r="L425" t="s">
        <v>22</v>
      </c>
      <c r="M425" t="s">
        <v>24</v>
      </c>
      <c r="N425">
        <v>48</v>
      </c>
      <c r="O425" t="str" cm="1">
        <f t="array" ref="O425">_xlfn.IFS(N425&gt;=54,"old",N425&gt;=31,"middle age",N425&gt;=18,"adolsent",N425&lt;18,"invalid")</f>
        <v>middle age</v>
      </c>
      <c r="P425" t="s">
        <v>15</v>
      </c>
    </row>
    <row r="426" spans="3:16" x14ac:dyDescent="0.3">
      <c r="C426">
        <v>18504</v>
      </c>
      <c r="D426" t="s">
        <v>36</v>
      </c>
      <c r="E426" t="s">
        <v>38</v>
      </c>
      <c r="F426" s="3">
        <v>70000</v>
      </c>
      <c r="G426">
        <v>2</v>
      </c>
      <c r="H426" t="s">
        <v>29</v>
      </c>
      <c r="I426" t="s">
        <v>14</v>
      </c>
      <c r="J426" t="s">
        <v>18</v>
      </c>
      <c r="K426">
        <v>2</v>
      </c>
      <c r="L426" t="s">
        <v>26</v>
      </c>
      <c r="M426" t="s">
        <v>32</v>
      </c>
      <c r="N426">
        <v>49</v>
      </c>
      <c r="O426" t="str" cm="1">
        <f t="array" ref="O426">_xlfn.IFS(N426&gt;=54,"old",N426&gt;=31,"middle age",N426&gt;=18,"adolsent",N426&lt;18,"invalid")</f>
        <v>middle age</v>
      </c>
      <c r="P426" t="s">
        <v>18</v>
      </c>
    </row>
    <row r="427" spans="3:16" x14ac:dyDescent="0.3">
      <c r="C427">
        <v>18517</v>
      </c>
      <c r="D427" t="s">
        <v>36</v>
      </c>
      <c r="E427" t="s">
        <v>38</v>
      </c>
      <c r="F427" s="3">
        <v>100000</v>
      </c>
      <c r="G427">
        <v>3</v>
      </c>
      <c r="H427" t="s">
        <v>13</v>
      </c>
      <c r="I427" t="s">
        <v>28</v>
      </c>
      <c r="J427" t="s">
        <v>15</v>
      </c>
      <c r="K427">
        <v>4</v>
      </c>
      <c r="L427" t="s">
        <v>16</v>
      </c>
      <c r="M427" t="s">
        <v>32</v>
      </c>
      <c r="N427">
        <v>41</v>
      </c>
      <c r="O427" t="str" cm="1">
        <f t="array" ref="O427">_xlfn.IFS(N427&gt;=54,"old",N427&gt;=31,"middle age",N427&gt;=18,"adolsent",N427&lt;18,"invalid")</f>
        <v>middle age</v>
      </c>
      <c r="P427" t="s">
        <v>18</v>
      </c>
    </row>
    <row r="428" spans="3:16" x14ac:dyDescent="0.3">
      <c r="C428">
        <v>18545</v>
      </c>
      <c r="D428" t="s">
        <v>36</v>
      </c>
      <c r="E428" t="s">
        <v>38</v>
      </c>
      <c r="F428" s="3">
        <v>40000</v>
      </c>
      <c r="G428">
        <v>4</v>
      </c>
      <c r="H428" t="s">
        <v>27</v>
      </c>
      <c r="I428" t="s">
        <v>21</v>
      </c>
      <c r="J428" t="s">
        <v>18</v>
      </c>
      <c r="K428">
        <v>2</v>
      </c>
      <c r="L428" t="s">
        <v>30</v>
      </c>
      <c r="M428" t="s">
        <v>32</v>
      </c>
      <c r="N428">
        <v>61</v>
      </c>
      <c r="O428" t="str" cm="1">
        <f t="array" ref="O428">_xlfn.IFS(N428&gt;=54,"old",N428&gt;=31,"middle age",N428&gt;=18,"adolsent",N428&lt;18,"invalid")</f>
        <v>old</v>
      </c>
      <c r="P428" t="s">
        <v>15</v>
      </c>
    </row>
    <row r="429" spans="3:16" x14ac:dyDescent="0.3">
      <c r="C429">
        <v>18560</v>
      </c>
      <c r="D429" t="s">
        <v>36</v>
      </c>
      <c r="E429" t="s">
        <v>39</v>
      </c>
      <c r="F429" s="3">
        <v>70000</v>
      </c>
      <c r="G429">
        <v>2</v>
      </c>
      <c r="H429" t="s">
        <v>31</v>
      </c>
      <c r="I429" t="s">
        <v>21</v>
      </c>
      <c r="J429" t="s">
        <v>15</v>
      </c>
      <c r="K429">
        <v>0</v>
      </c>
      <c r="L429" t="s">
        <v>22</v>
      </c>
      <c r="M429" t="s">
        <v>32</v>
      </c>
      <c r="N429">
        <v>34</v>
      </c>
      <c r="O429" t="str" cm="1">
        <f t="array" ref="O429">_xlfn.IFS(N429&gt;=54,"old",N429&gt;=31,"middle age",N429&gt;=18,"adolsent",N429&lt;18,"invalid")</f>
        <v>middle age</v>
      </c>
      <c r="P429" t="s">
        <v>15</v>
      </c>
    </row>
    <row r="430" spans="3:16" x14ac:dyDescent="0.3">
      <c r="C430">
        <v>18572</v>
      </c>
      <c r="D430" t="s">
        <v>36</v>
      </c>
      <c r="E430" t="s">
        <v>39</v>
      </c>
      <c r="F430" s="3">
        <v>60000</v>
      </c>
      <c r="G430">
        <v>0</v>
      </c>
      <c r="H430" t="s">
        <v>31</v>
      </c>
      <c r="I430" t="s">
        <v>21</v>
      </c>
      <c r="J430" t="s">
        <v>15</v>
      </c>
      <c r="K430">
        <v>0</v>
      </c>
      <c r="L430" t="s">
        <v>16</v>
      </c>
      <c r="M430" t="s">
        <v>32</v>
      </c>
      <c r="N430">
        <v>39</v>
      </c>
      <c r="O430" t="str" cm="1">
        <f t="array" ref="O430">_xlfn.IFS(N430&gt;=54,"old",N430&gt;=31,"middle age",N430&gt;=18,"adolsent",N430&lt;18,"invalid")</f>
        <v>middle age</v>
      </c>
      <c r="P430" t="s">
        <v>18</v>
      </c>
    </row>
    <row r="431" spans="3:16" x14ac:dyDescent="0.3">
      <c r="C431">
        <v>18577</v>
      </c>
      <c r="D431" t="s">
        <v>36</v>
      </c>
      <c r="E431" t="s">
        <v>39</v>
      </c>
      <c r="F431" s="3">
        <v>60000</v>
      </c>
      <c r="G431">
        <v>0</v>
      </c>
      <c r="H431" t="s">
        <v>31</v>
      </c>
      <c r="I431" t="s">
        <v>21</v>
      </c>
      <c r="J431" t="s">
        <v>15</v>
      </c>
      <c r="K431">
        <v>0</v>
      </c>
      <c r="L431" t="s">
        <v>16</v>
      </c>
      <c r="M431" t="s">
        <v>32</v>
      </c>
      <c r="N431">
        <v>40</v>
      </c>
      <c r="O431" t="str" cm="1">
        <f t="array" ref="O431">_xlfn.IFS(N431&gt;=54,"old",N431&gt;=31,"middle age",N431&gt;=18,"adolsent",N431&lt;18,"invalid")</f>
        <v>middle age</v>
      </c>
      <c r="P431" t="s">
        <v>18</v>
      </c>
    </row>
    <row r="432" spans="3:16" x14ac:dyDescent="0.3">
      <c r="C432">
        <v>18580</v>
      </c>
      <c r="D432" t="s">
        <v>36</v>
      </c>
      <c r="E432" t="s">
        <v>39</v>
      </c>
      <c r="F432" s="3">
        <v>60000</v>
      </c>
      <c r="G432">
        <v>2</v>
      </c>
      <c r="H432" t="s">
        <v>31</v>
      </c>
      <c r="I432" t="s">
        <v>21</v>
      </c>
      <c r="J432" t="s">
        <v>15</v>
      </c>
      <c r="K432">
        <v>0</v>
      </c>
      <c r="L432" t="s">
        <v>22</v>
      </c>
      <c r="M432" t="s">
        <v>32</v>
      </c>
      <c r="N432">
        <v>40</v>
      </c>
      <c r="O432" t="str" cm="1">
        <f t="array" ref="O432">_xlfn.IFS(N432&gt;=54,"old",N432&gt;=31,"middle age",N432&gt;=18,"adolsent",N432&lt;18,"invalid")</f>
        <v>middle age</v>
      </c>
      <c r="P432" t="s">
        <v>15</v>
      </c>
    </row>
    <row r="433" spans="3:16" x14ac:dyDescent="0.3">
      <c r="C433">
        <v>18594</v>
      </c>
      <c r="D433" t="s">
        <v>37</v>
      </c>
      <c r="E433" t="s">
        <v>39</v>
      </c>
      <c r="F433" s="3">
        <v>80000</v>
      </c>
      <c r="G433">
        <v>3</v>
      </c>
      <c r="H433" t="s">
        <v>13</v>
      </c>
      <c r="I433" t="s">
        <v>14</v>
      </c>
      <c r="J433" t="s">
        <v>15</v>
      </c>
      <c r="K433">
        <v>3</v>
      </c>
      <c r="L433" t="s">
        <v>30</v>
      </c>
      <c r="M433" t="s">
        <v>32</v>
      </c>
      <c r="N433">
        <v>40</v>
      </c>
      <c r="O433" t="str" cm="1">
        <f t="array" ref="O433">_xlfn.IFS(N433&gt;=54,"old",N433&gt;=31,"middle age",N433&gt;=18,"adolsent",N433&lt;18,"invalid")</f>
        <v>middle age</v>
      </c>
      <c r="P433" t="s">
        <v>15</v>
      </c>
    </row>
    <row r="434" spans="3:16" x14ac:dyDescent="0.3">
      <c r="C434">
        <v>18607</v>
      </c>
      <c r="D434" t="s">
        <v>37</v>
      </c>
      <c r="E434" t="s">
        <v>39</v>
      </c>
      <c r="F434" s="3">
        <v>60000</v>
      </c>
      <c r="G434">
        <v>4</v>
      </c>
      <c r="H434" t="s">
        <v>13</v>
      </c>
      <c r="I434" t="s">
        <v>14</v>
      </c>
      <c r="J434" t="s">
        <v>15</v>
      </c>
      <c r="K434">
        <v>2</v>
      </c>
      <c r="L434" t="s">
        <v>22</v>
      </c>
      <c r="M434" t="s">
        <v>32</v>
      </c>
      <c r="N434">
        <v>42</v>
      </c>
      <c r="O434" t="str" cm="1">
        <f t="array" ref="O434">_xlfn.IFS(N434&gt;=54,"old",N434&gt;=31,"middle age",N434&gt;=18,"adolsent",N434&lt;18,"invalid")</f>
        <v>middle age</v>
      </c>
      <c r="P434" t="s">
        <v>15</v>
      </c>
    </row>
    <row r="435" spans="3:16" x14ac:dyDescent="0.3">
      <c r="C435">
        <v>18613</v>
      </c>
      <c r="D435" t="s">
        <v>37</v>
      </c>
      <c r="E435" t="s">
        <v>38</v>
      </c>
      <c r="F435" s="3">
        <v>70000</v>
      </c>
      <c r="G435">
        <v>0</v>
      </c>
      <c r="H435" t="s">
        <v>13</v>
      </c>
      <c r="I435" t="s">
        <v>21</v>
      </c>
      <c r="J435" t="s">
        <v>18</v>
      </c>
      <c r="K435">
        <v>1</v>
      </c>
      <c r="L435" t="s">
        <v>22</v>
      </c>
      <c r="M435" t="s">
        <v>32</v>
      </c>
      <c r="N435">
        <v>37</v>
      </c>
      <c r="O435" t="str" cm="1">
        <f t="array" ref="O435">_xlfn.IFS(N435&gt;=54,"old",N435&gt;=31,"middle age",N435&gt;=18,"adolsent",N435&lt;18,"invalid")</f>
        <v>middle age</v>
      </c>
      <c r="P435" t="s">
        <v>15</v>
      </c>
    </row>
    <row r="436" spans="3:16" x14ac:dyDescent="0.3">
      <c r="C436">
        <v>18626</v>
      </c>
      <c r="D436" t="s">
        <v>37</v>
      </c>
      <c r="E436" t="s">
        <v>38</v>
      </c>
      <c r="F436" s="3">
        <v>40000</v>
      </c>
      <c r="G436">
        <v>2</v>
      </c>
      <c r="H436" t="s">
        <v>19</v>
      </c>
      <c r="I436" t="s">
        <v>20</v>
      </c>
      <c r="J436" t="s">
        <v>15</v>
      </c>
      <c r="K436">
        <v>0</v>
      </c>
      <c r="L436" t="s">
        <v>26</v>
      </c>
      <c r="M436" t="s">
        <v>17</v>
      </c>
      <c r="N436">
        <v>33</v>
      </c>
      <c r="O436" t="str" cm="1">
        <f t="array" ref="O436">_xlfn.IFS(N436&gt;=54,"old",N436&gt;=31,"middle age",N436&gt;=18,"adolsent",N436&lt;18,"invalid")</f>
        <v>middle age</v>
      </c>
      <c r="P436" t="s">
        <v>15</v>
      </c>
    </row>
    <row r="437" spans="3:16" x14ac:dyDescent="0.3">
      <c r="C437">
        <v>18649</v>
      </c>
      <c r="D437" t="s">
        <v>37</v>
      </c>
      <c r="E437" t="s">
        <v>38</v>
      </c>
      <c r="F437" s="3">
        <v>30000</v>
      </c>
      <c r="G437">
        <v>1</v>
      </c>
      <c r="H437" t="s">
        <v>27</v>
      </c>
      <c r="I437" t="s">
        <v>20</v>
      </c>
      <c r="J437" t="s">
        <v>15</v>
      </c>
      <c r="K437">
        <v>2</v>
      </c>
      <c r="L437" t="s">
        <v>26</v>
      </c>
      <c r="M437" t="s">
        <v>32</v>
      </c>
      <c r="N437">
        <v>51</v>
      </c>
      <c r="O437" t="str" cm="1">
        <f t="array" ref="O437">_xlfn.IFS(N437&gt;=54,"old",N437&gt;=31,"middle age",N437&gt;=18,"adolsent",N437&lt;18,"invalid")</f>
        <v>middle age</v>
      </c>
      <c r="P437" t="s">
        <v>15</v>
      </c>
    </row>
    <row r="438" spans="3:16" x14ac:dyDescent="0.3">
      <c r="C438">
        <v>18674</v>
      </c>
      <c r="D438" t="s">
        <v>37</v>
      </c>
      <c r="E438" t="s">
        <v>39</v>
      </c>
      <c r="F438" s="3">
        <v>80000</v>
      </c>
      <c r="G438">
        <v>4</v>
      </c>
      <c r="H438" t="s">
        <v>31</v>
      </c>
      <c r="I438" t="s">
        <v>14</v>
      </c>
      <c r="J438" t="s">
        <v>18</v>
      </c>
      <c r="K438">
        <v>0</v>
      </c>
      <c r="L438" t="s">
        <v>16</v>
      </c>
      <c r="M438" t="s">
        <v>32</v>
      </c>
      <c r="N438">
        <v>48</v>
      </c>
      <c r="O438" t="str" cm="1">
        <f t="array" ref="O438">_xlfn.IFS(N438&gt;=54,"old",N438&gt;=31,"middle age",N438&gt;=18,"adolsent",N438&lt;18,"invalid")</f>
        <v>middle age</v>
      </c>
      <c r="P438" t="s">
        <v>18</v>
      </c>
    </row>
    <row r="439" spans="3:16" x14ac:dyDescent="0.3">
      <c r="C439">
        <v>18711</v>
      </c>
      <c r="D439" t="s">
        <v>37</v>
      </c>
      <c r="E439" t="s">
        <v>39</v>
      </c>
      <c r="F439" s="3">
        <v>70000</v>
      </c>
      <c r="G439">
        <v>5</v>
      </c>
      <c r="H439" t="s">
        <v>13</v>
      </c>
      <c r="I439" t="s">
        <v>21</v>
      </c>
      <c r="J439" t="s">
        <v>15</v>
      </c>
      <c r="K439">
        <v>4</v>
      </c>
      <c r="L439" t="s">
        <v>30</v>
      </c>
      <c r="M439" t="s">
        <v>24</v>
      </c>
      <c r="N439">
        <v>39</v>
      </c>
      <c r="O439" t="str" cm="1">
        <f t="array" ref="O439">_xlfn.IFS(N439&gt;=54,"old",N439&gt;=31,"middle age",N439&gt;=18,"adolsent",N439&lt;18,"invalid")</f>
        <v>middle age</v>
      </c>
      <c r="P439" t="s">
        <v>18</v>
      </c>
    </row>
    <row r="440" spans="3:16" x14ac:dyDescent="0.3">
      <c r="C440">
        <v>18740</v>
      </c>
      <c r="D440" t="s">
        <v>36</v>
      </c>
      <c r="E440" t="s">
        <v>38</v>
      </c>
      <c r="F440" s="3">
        <v>80000</v>
      </c>
      <c r="G440">
        <v>5</v>
      </c>
      <c r="H440" t="s">
        <v>13</v>
      </c>
      <c r="I440" t="s">
        <v>21</v>
      </c>
      <c r="J440" t="s">
        <v>18</v>
      </c>
      <c r="K440">
        <v>1</v>
      </c>
      <c r="L440" t="s">
        <v>16</v>
      </c>
      <c r="M440" t="s">
        <v>24</v>
      </c>
      <c r="N440">
        <v>47</v>
      </c>
      <c r="O440" t="str" cm="1">
        <f t="array" ref="O440">_xlfn.IFS(N440&gt;=54,"old",N440&gt;=31,"middle age",N440&gt;=18,"adolsent",N440&lt;18,"invalid")</f>
        <v>middle age</v>
      </c>
      <c r="P440" t="s">
        <v>15</v>
      </c>
    </row>
    <row r="441" spans="3:16" x14ac:dyDescent="0.3">
      <c r="C441">
        <v>18752</v>
      </c>
      <c r="D441" t="s">
        <v>37</v>
      </c>
      <c r="E441" t="s">
        <v>39</v>
      </c>
      <c r="F441" s="3">
        <v>40000</v>
      </c>
      <c r="G441">
        <v>0</v>
      </c>
      <c r="H441" t="s">
        <v>27</v>
      </c>
      <c r="I441" t="s">
        <v>14</v>
      </c>
      <c r="J441" t="s">
        <v>15</v>
      </c>
      <c r="K441">
        <v>1</v>
      </c>
      <c r="L441" t="s">
        <v>23</v>
      </c>
      <c r="M441" t="s">
        <v>32</v>
      </c>
      <c r="N441">
        <v>31</v>
      </c>
      <c r="O441" t="str" cm="1">
        <f t="array" ref="O441">_xlfn.IFS(N441&gt;=54,"old",N441&gt;=31,"middle age",N441&gt;=18,"adolsent",N441&lt;18,"invalid")</f>
        <v>middle age</v>
      </c>
      <c r="P441" t="s">
        <v>18</v>
      </c>
    </row>
    <row r="442" spans="3:16" x14ac:dyDescent="0.3">
      <c r="C442">
        <v>18783</v>
      </c>
      <c r="D442" t="s">
        <v>37</v>
      </c>
      <c r="E442" t="s">
        <v>38</v>
      </c>
      <c r="F442" s="3">
        <v>80000</v>
      </c>
      <c r="G442">
        <v>0</v>
      </c>
      <c r="H442" t="s">
        <v>13</v>
      </c>
      <c r="I442" t="s">
        <v>28</v>
      </c>
      <c r="J442" t="s">
        <v>18</v>
      </c>
      <c r="K442">
        <v>1</v>
      </c>
      <c r="L442" t="s">
        <v>16</v>
      </c>
      <c r="M442" t="s">
        <v>32</v>
      </c>
      <c r="N442">
        <v>38</v>
      </c>
      <c r="O442" t="str" cm="1">
        <f t="array" ref="O442">_xlfn.IFS(N442&gt;=54,"old",N442&gt;=31,"middle age",N442&gt;=18,"adolsent",N442&lt;18,"invalid")</f>
        <v>middle age</v>
      </c>
      <c r="P442" t="s">
        <v>15</v>
      </c>
    </row>
    <row r="443" spans="3:16" x14ac:dyDescent="0.3">
      <c r="C443">
        <v>18847</v>
      </c>
      <c r="D443" t="s">
        <v>36</v>
      </c>
      <c r="E443" t="s">
        <v>39</v>
      </c>
      <c r="F443" s="3">
        <v>60000</v>
      </c>
      <c r="G443">
        <v>2</v>
      </c>
      <c r="H443" t="s">
        <v>31</v>
      </c>
      <c r="I443" t="s">
        <v>28</v>
      </c>
      <c r="J443" t="s">
        <v>15</v>
      </c>
      <c r="K443">
        <v>2</v>
      </c>
      <c r="L443" t="s">
        <v>23</v>
      </c>
      <c r="M443" t="s">
        <v>32</v>
      </c>
      <c r="N443">
        <v>70</v>
      </c>
      <c r="O443" t="str" cm="1">
        <f t="array" ref="O443">_xlfn.IFS(N443&gt;=54,"old",N443&gt;=31,"middle age",N443&gt;=18,"adolsent",N443&lt;18,"invalid")</f>
        <v>old</v>
      </c>
      <c r="P443" t="s">
        <v>18</v>
      </c>
    </row>
    <row r="444" spans="3:16" x14ac:dyDescent="0.3">
      <c r="C444">
        <v>18858</v>
      </c>
      <c r="D444" t="s">
        <v>37</v>
      </c>
      <c r="E444" t="s">
        <v>38</v>
      </c>
      <c r="F444" s="3">
        <v>60000</v>
      </c>
      <c r="G444">
        <v>2</v>
      </c>
      <c r="H444" t="s">
        <v>29</v>
      </c>
      <c r="I444" t="s">
        <v>14</v>
      </c>
      <c r="J444" t="s">
        <v>15</v>
      </c>
      <c r="K444">
        <v>2</v>
      </c>
      <c r="L444" t="s">
        <v>23</v>
      </c>
      <c r="M444" t="s">
        <v>32</v>
      </c>
      <c r="N444">
        <v>52</v>
      </c>
      <c r="O444" t="str" cm="1">
        <f t="array" ref="O444">_xlfn.IFS(N444&gt;=54,"old",N444&gt;=31,"middle age",N444&gt;=18,"adolsent",N444&lt;18,"invalid")</f>
        <v>middle age</v>
      </c>
      <c r="P444" t="s">
        <v>15</v>
      </c>
    </row>
    <row r="445" spans="3:16" x14ac:dyDescent="0.3">
      <c r="C445">
        <v>18891</v>
      </c>
      <c r="D445" t="s">
        <v>36</v>
      </c>
      <c r="E445" t="s">
        <v>39</v>
      </c>
      <c r="F445" s="3">
        <v>40000</v>
      </c>
      <c r="G445">
        <v>0</v>
      </c>
      <c r="H445" t="s">
        <v>19</v>
      </c>
      <c r="I445" t="s">
        <v>14</v>
      </c>
      <c r="J445" t="s">
        <v>15</v>
      </c>
      <c r="K445">
        <v>2</v>
      </c>
      <c r="L445" t="s">
        <v>23</v>
      </c>
      <c r="M445" t="s">
        <v>32</v>
      </c>
      <c r="N445">
        <v>28</v>
      </c>
      <c r="O445" t="str" cm="1">
        <f t="array" ref="O445">_xlfn.IFS(N445&gt;=54,"old",N445&gt;=31,"middle age",N445&gt;=18,"adolsent",N445&lt;18,"invalid")</f>
        <v>adolsent</v>
      </c>
      <c r="P445" t="s">
        <v>18</v>
      </c>
    </row>
    <row r="446" spans="3:16" x14ac:dyDescent="0.3">
      <c r="C446">
        <v>18910</v>
      </c>
      <c r="D446" t="s">
        <v>37</v>
      </c>
      <c r="E446" t="s">
        <v>38</v>
      </c>
      <c r="F446" s="3">
        <v>30000</v>
      </c>
      <c r="G446">
        <v>0</v>
      </c>
      <c r="H446" t="s">
        <v>19</v>
      </c>
      <c r="I446" t="s">
        <v>14</v>
      </c>
      <c r="J446" t="s">
        <v>15</v>
      </c>
      <c r="K446">
        <v>2</v>
      </c>
      <c r="L446" t="s">
        <v>23</v>
      </c>
      <c r="M446" t="s">
        <v>32</v>
      </c>
      <c r="N446">
        <v>30</v>
      </c>
      <c r="O446" t="str" cm="1">
        <f t="array" ref="O446">_xlfn.IFS(N446&gt;=54,"old",N446&gt;=31,"middle age",N446&gt;=18,"adolsent",N446&lt;18,"invalid")</f>
        <v>adolsent</v>
      </c>
      <c r="P446" t="s">
        <v>18</v>
      </c>
    </row>
    <row r="447" spans="3:16" x14ac:dyDescent="0.3">
      <c r="C447">
        <v>18935</v>
      </c>
      <c r="D447" t="s">
        <v>36</v>
      </c>
      <c r="E447" t="s">
        <v>39</v>
      </c>
      <c r="F447" s="3">
        <v>130000</v>
      </c>
      <c r="G447">
        <v>0</v>
      </c>
      <c r="H447" t="s">
        <v>31</v>
      </c>
      <c r="I447" t="s">
        <v>28</v>
      </c>
      <c r="J447" t="s">
        <v>15</v>
      </c>
      <c r="K447">
        <v>3</v>
      </c>
      <c r="L447" t="s">
        <v>26</v>
      </c>
      <c r="M447" t="s">
        <v>32</v>
      </c>
      <c r="N447">
        <v>40</v>
      </c>
      <c r="O447" t="str" cm="1">
        <f t="array" ref="O447">_xlfn.IFS(N447&gt;=54,"old",N447&gt;=31,"middle age",N447&gt;=18,"adolsent",N447&lt;18,"invalid")</f>
        <v>middle age</v>
      </c>
      <c r="P447" t="s">
        <v>18</v>
      </c>
    </row>
    <row r="448" spans="3:16" x14ac:dyDescent="0.3">
      <c r="C448">
        <v>18949</v>
      </c>
      <c r="D448" t="s">
        <v>37</v>
      </c>
      <c r="E448" t="s">
        <v>38</v>
      </c>
      <c r="F448" s="3">
        <v>70000</v>
      </c>
      <c r="G448">
        <v>0</v>
      </c>
      <c r="H448" t="s">
        <v>31</v>
      </c>
      <c r="I448" t="s">
        <v>28</v>
      </c>
      <c r="J448" t="s">
        <v>15</v>
      </c>
      <c r="K448">
        <v>2</v>
      </c>
      <c r="L448" t="s">
        <v>23</v>
      </c>
      <c r="M448" t="s">
        <v>32</v>
      </c>
      <c r="N448">
        <v>74</v>
      </c>
      <c r="O448" t="str" cm="1">
        <f t="array" ref="O448">_xlfn.IFS(N448&gt;=54,"old",N448&gt;=31,"middle age",N448&gt;=18,"adolsent",N448&lt;18,"invalid")</f>
        <v>old</v>
      </c>
      <c r="P448" t="s">
        <v>15</v>
      </c>
    </row>
    <row r="449" spans="3:16" x14ac:dyDescent="0.3">
      <c r="C449">
        <v>18952</v>
      </c>
      <c r="D449" t="s">
        <v>36</v>
      </c>
      <c r="E449" t="s">
        <v>39</v>
      </c>
      <c r="F449" s="3">
        <v>100000</v>
      </c>
      <c r="G449">
        <v>4</v>
      </c>
      <c r="H449" t="s">
        <v>13</v>
      </c>
      <c r="I449" t="s">
        <v>28</v>
      </c>
      <c r="J449" t="s">
        <v>15</v>
      </c>
      <c r="K449">
        <v>4</v>
      </c>
      <c r="L449" t="s">
        <v>16</v>
      </c>
      <c r="M449" t="s">
        <v>32</v>
      </c>
      <c r="N449">
        <v>40</v>
      </c>
      <c r="O449" t="str" cm="1">
        <f t="array" ref="O449">_xlfn.IFS(N449&gt;=54,"old",N449&gt;=31,"middle age",N449&gt;=18,"adolsent",N449&lt;18,"invalid")</f>
        <v>middle age</v>
      </c>
      <c r="P449" t="s">
        <v>18</v>
      </c>
    </row>
    <row r="450" spans="3:16" x14ac:dyDescent="0.3">
      <c r="C450">
        <v>18976</v>
      </c>
      <c r="D450" t="s">
        <v>37</v>
      </c>
      <c r="E450" t="s">
        <v>38</v>
      </c>
      <c r="F450" s="3">
        <v>40000</v>
      </c>
      <c r="G450">
        <v>4</v>
      </c>
      <c r="H450" t="s">
        <v>27</v>
      </c>
      <c r="I450" t="s">
        <v>21</v>
      </c>
      <c r="J450" t="s">
        <v>15</v>
      </c>
      <c r="K450">
        <v>2</v>
      </c>
      <c r="L450" t="s">
        <v>30</v>
      </c>
      <c r="M450" t="s">
        <v>32</v>
      </c>
      <c r="N450">
        <v>62</v>
      </c>
      <c r="O450" t="str" cm="1">
        <f t="array" ref="O450">_xlfn.IFS(N450&gt;=54,"old",N450&gt;=31,"middle age",N450&gt;=18,"adolsent",N450&lt;18,"invalid")</f>
        <v>old</v>
      </c>
      <c r="P450" t="s">
        <v>15</v>
      </c>
    </row>
    <row r="451" spans="3:16" x14ac:dyDescent="0.3">
      <c r="C451">
        <v>19002</v>
      </c>
      <c r="D451" t="s">
        <v>36</v>
      </c>
      <c r="E451" t="s">
        <v>39</v>
      </c>
      <c r="F451" s="3">
        <v>60000</v>
      </c>
      <c r="G451">
        <v>2</v>
      </c>
      <c r="H451" t="s">
        <v>19</v>
      </c>
      <c r="I451" t="s">
        <v>21</v>
      </c>
      <c r="J451" t="s">
        <v>15</v>
      </c>
      <c r="K451">
        <v>1</v>
      </c>
      <c r="L451" t="s">
        <v>22</v>
      </c>
      <c r="M451" t="s">
        <v>32</v>
      </c>
      <c r="N451">
        <v>57</v>
      </c>
      <c r="O451" t="str" cm="1">
        <f t="array" ref="O451">_xlfn.IFS(N451&gt;=54,"old",N451&gt;=31,"middle age",N451&gt;=18,"adolsent",N451&lt;18,"invalid")</f>
        <v>old</v>
      </c>
      <c r="P451" t="s">
        <v>15</v>
      </c>
    </row>
    <row r="452" spans="3:16" x14ac:dyDescent="0.3">
      <c r="C452">
        <v>19012</v>
      </c>
      <c r="D452" t="s">
        <v>36</v>
      </c>
      <c r="E452" t="s">
        <v>38</v>
      </c>
      <c r="F452" s="3">
        <v>80000</v>
      </c>
      <c r="G452">
        <v>3</v>
      </c>
      <c r="H452" t="s">
        <v>13</v>
      </c>
      <c r="I452" t="s">
        <v>28</v>
      </c>
      <c r="J452" t="s">
        <v>15</v>
      </c>
      <c r="K452">
        <v>1</v>
      </c>
      <c r="L452" t="s">
        <v>26</v>
      </c>
      <c r="M452" t="s">
        <v>32</v>
      </c>
      <c r="N452">
        <v>56</v>
      </c>
      <c r="O452" t="str" cm="1">
        <f t="array" ref="O452">_xlfn.IFS(N452&gt;=54,"old",N452&gt;=31,"middle age",N452&gt;=18,"adolsent",N452&lt;18,"invalid")</f>
        <v>old</v>
      </c>
      <c r="P452" t="s">
        <v>18</v>
      </c>
    </row>
    <row r="453" spans="3:16" x14ac:dyDescent="0.3">
      <c r="C453">
        <v>19057</v>
      </c>
      <c r="D453" t="s">
        <v>36</v>
      </c>
      <c r="E453" t="s">
        <v>39</v>
      </c>
      <c r="F453" s="3">
        <v>120000</v>
      </c>
      <c r="G453">
        <v>3</v>
      </c>
      <c r="H453" t="s">
        <v>13</v>
      </c>
      <c r="I453" t="s">
        <v>28</v>
      </c>
      <c r="J453" t="s">
        <v>18</v>
      </c>
      <c r="K453">
        <v>2</v>
      </c>
      <c r="L453" t="s">
        <v>30</v>
      </c>
      <c r="M453" t="s">
        <v>17</v>
      </c>
      <c r="N453">
        <v>52</v>
      </c>
      <c r="O453" t="str" cm="1">
        <f t="array" ref="O453">_xlfn.IFS(N453&gt;=54,"old",N453&gt;=31,"middle age",N453&gt;=18,"adolsent",N453&lt;18,"invalid")</f>
        <v>middle age</v>
      </c>
      <c r="P453" t="s">
        <v>15</v>
      </c>
    </row>
    <row r="454" spans="3:16" x14ac:dyDescent="0.3">
      <c r="C454">
        <v>19066</v>
      </c>
      <c r="D454" t="s">
        <v>36</v>
      </c>
      <c r="E454" t="s">
        <v>38</v>
      </c>
      <c r="F454" s="3">
        <v>130000</v>
      </c>
      <c r="G454">
        <v>4</v>
      </c>
      <c r="H454" t="s">
        <v>19</v>
      </c>
      <c r="I454" t="s">
        <v>21</v>
      </c>
      <c r="J454" t="s">
        <v>18</v>
      </c>
      <c r="K454">
        <v>3</v>
      </c>
      <c r="L454" t="s">
        <v>30</v>
      </c>
      <c r="M454" t="s">
        <v>17</v>
      </c>
      <c r="N454">
        <v>54</v>
      </c>
      <c r="O454" t="str" cm="1">
        <f t="array" ref="O454">_xlfn.IFS(N454&gt;=54,"old",N454&gt;=31,"middle age",N454&gt;=18,"adolsent",N454&lt;18,"invalid")</f>
        <v>old</v>
      </c>
      <c r="P454" t="s">
        <v>18</v>
      </c>
    </row>
    <row r="455" spans="3:16" x14ac:dyDescent="0.3">
      <c r="C455">
        <v>19117</v>
      </c>
      <c r="D455" t="s">
        <v>37</v>
      </c>
      <c r="E455" t="s">
        <v>39</v>
      </c>
      <c r="F455" s="3">
        <v>60000</v>
      </c>
      <c r="G455">
        <v>1</v>
      </c>
      <c r="H455" t="s">
        <v>31</v>
      </c>
      <c r="I455" t="s">
        <v>21</v>
      </c>
      <c r="J455" t="s">
        <v>15</v>
      </c>
      <c r="K455">
        <v>0</v>
      </c>
      <c r="L455" t="s">
        <v>22</v>
      </c>
      <c r="M455" t="s">
        <v>32</v>
      </c>
      <c r="N455">
        <v>36</v>
      </c>
      <c r="O455" t="str" cm="1">
        <f t="array" ref="O455">_xlfn.IFS(N455&gt;=54,"old",N455&gt;=31,"middle age",N455&gt;=18,"adolsent",N455&lt;18,"invalid")</f>
        <v>middle age</v>
      </c>
      <c r="P455" t="s">
        <v>15</v>
      </c>
    </row>
    <row r="456" spans="3:16" x14ac:dyDescent="0.3">
      <c r="C456">
        <v>19133</v>
      </c>
      <c r="D456" t="s">
        <v>37</v>
      </c>
      <c r="E456" t="s">
        <v>38</v>
      </c>
      <c r="F456" s="3">
        <v>50000</v>
      </c>
      <c r="G456">
        <v>2</v>
      </c>
      <c r="H456" t="s">
        <v>13</v>
      </c>
      <c r="I456" t="s">
        <v>14</v>
      </c>
      <c r="J456" t="s">
        <v>15</v>
      </c>
      <c r="K456">
        <v>1</v>
      </c>
      <c r="L456" t="s">
        <v>22</v>
      </c>
      <c r="M456" t="s">
        <v>32</v>
      </c>
      <c r="N456">
        <v>38</v>
      </c>
      <c r="O456" t="str" cm="1">
        <f t="array" ref="O456">_xlfn.IFS(N456&gt;=54,"old",N456&gt;=31,"middle age",N456&gt;=18,"adolsent",N456&lt;18,"invalid")</f>
        <v>middle age</v>
      </c>
      <c r="P456" t="s">
        <v>15</v>
      </c>
    </row>
    <row r="457" spans="3:16" x14ac:dyDescent="0.3">
      <c r="C457">
        <v>19143</v>
      </c>
      <c r="D457" t="s">
        <v>37</v>
      </c>
      <c r="E457" t="s">
        <v>39</v>
      </c>
      <c r="F457" s="3">
        <v>80000</v>
      </c>
      <c r="G457">
        <v>3</v>
      </c>
      <c r="H457" t="s">
        <v>13</v>
      </c>
      <c r="I457" t="s">
        <v>14</v>
      </c>
      <c r="J457" t="s">
        <v>15</v>
      </c>
      <c r="K457">
        <v>2</v>
      </c>
      <c r="L457" t="s">
        <v>22</v>
      </c>
      <c r="M457" t="s">
        <v>32</v>
      </c>
      <c r="N457">
        <v>41</v>
      </c>
      <c r="O457" t="str" cm="1">
        <f t="array" ref="O457">_xlfn.IFS(N457&gt;=54,"old",N457&gt;=31,"middle age",N457&gt;=18,"adolsent",N457&lt;18,"invalid")</f>
        <v>middle age</v>
      </c>
      <c r="P457" t="s">
        <v>15</v>
      </c>
    </row>
    <row r="458" spans="3:16" x14ac:dyDescent="0.3">
      <c r="C458">
        <v>19147</v>
      </c>
      <c r="D458" t="s">
        <v>36</v>
      </c>
      <c r="E458" t="s">
        <v>38</v>
      </c>
      <c r="F458" s="3">
        <v>40000</v>
      </c>
      <c r="G458">
        <v>0</v>
      </c>
      <c r="H458" t="s">
        <v>13</v>
      </c>
      <c r="I458" t="s">
        <v>21</v>
      </c>
      <c r="J458" t="s">
        <v>18</v>
      </c>
      <c r="K458">
        <v>1</v>
      </c>
      <c r="L458" t="s">
        <v>16</v>
      </c>
      <c r="M458" t="s">
        <v>32</v>
      </c>
      <c r="N458">
        <v>42</v>
      </c>
      <c r="O458" t="str" cm="1">
        <f t="array" ref="O458">_xlfn.IFS(N458&gt;=54,"old",N458&gt;=31,"middle age",N458&gt;=18,"adolsent",N458&lt;18,"invalid")</f>
        <v>middle age</v>
      </c>
      <c r="P458" t="s">
        <v>18</v>
      </c>
    </row>
    <row r="459" spans="3:16" x14ac:dyDescent="0.3">
      <c r="C459">
        <v>19163</v>
      </c>
      <c r="D459" t="s">
        <v>36</v>
      </c>
      <c r="E459" t="s">
        <v>39</v>
      </c>
      <c r="F459" s="3">
        <v>70000</v>
      </c>
      <c r="G459">
        <v>4</v>
      </c>
      <c r="H459" t="s">
        <v>13</v>
      </c>
      <c r="I459" t="s">
        <v>21</v>
      </c>
      <c r="J459" t="s">
        <v>15</v>
      </c>
      <c r="K459">
        <v>2</v>
      </c>
      <c r="L459" t="s">
        <v>16</v>
      </c>
      <c r="M459" t="s">
        <v>32</v>
      </c>
      <c r="N459">
        <v>43</v>
      </c>
      <c r="O459" t="str" cm="1">
        <f t="array" ref="O459">_xlfn.IFS(N459&gt;=54,"old",N459&gt;=31,"middle age",N459&gt;=18,"adolsent",N459&lt;18,"invalid")</f>
        <v>middle age</v>
      </c>
      <c r="P459" t="s">
        <v>15</v>
      </c>
    </row>
    <row r="460" spans="3:16" x14ac:dyDescent="0.3">
      <c r="C460">
        <v>19164</v>
      </c>
      <c r="D460" t="s">
        <v>37</v>
      </c>
      <c r="E460" t="s">
        <v>39</v>
      </c>
      <c r="F460" s="3">
        <v>70000</v>
      </c>
      <c r="G460">
        <v>0</v>
      </c>
      <c r="H460" t="s">
        <v>13</v>
      </c>
      <c r="I460" t="s">
        <v>21</v>
      </c>
      <c r="J460" t="s">
        <v>18</v>
      </c>
      <c r="K460">
        <v>1</v>
      </c>
      <c r="L460" t="s">
        <v>22</v>
      </c>
      <c r="M460" t="s">
        <v>32</v>
      </c>
      <c r="N460">
        <v>38</v>
      </c>
      <c r="O460" t="str" cm="1">
        <f t="array" ref="O460">_xlfn.IFS(N460&gt;=54,"old",N460&gt;=31,"middle age",N460&gt;=18,"adolsent",N460&lt;18,"invalid")</f>
        <v>middle age</v>
      </c>
      <c r="P460" t="s">
        <v>15</v>
      </c>
    </row>
    <row r="461" spans="3:16" x14ac:dyDescent="0.3">
      <c r="C461">
        <v>19174</v>
      </c>
      <c r="D461" t="s">
        <v>37</v>
      </c>
      <c r="E461" t="s">
        <v>39</v>
      </c>
      <c r="F461" s="3">
        <v>30000</v>
      </c>
      <c r="G461">
        <v>0</v>
      </c>
      <c r="H461" t="s">
        <v>27</v>
      </c>
      <c r="I461" t="s">
        <v>25</v>
      </c>
      <c r="J461" t="s">
        <v>18</v>
      </c>
      <c r="K461">
        <v>1</v>
      </c>
      <c r="L461" t="s">
        <v>22</v>
      </c>
      <c r="M461" t="s">
        <v>17</v>
      </c>
      <c r="N461">
        <v>32</v>
      </c>
      <c r="O461" t="str" cm="1">
        <f t="array" ref="O461">_xlfn.IFS(N461&gt;=54,"old",N461&gt;=31,"middle age",N461&gt;=18,"adolsent",N461&lt;18,"invalid")</f>
        <v>middle age</v>
      </c>
      <c r="P461" t="s">
        <v>15</v>
      </c>
    </row>
    <row r="462" spans="3:16" x14ac:dyDescent="0.3">
      <c r="C462">
        <v>19183</v>
      </c>
      <c r="D462" t="s">
        <v>37</v>
      </c>
      <c r="E462" t="s">
        <v>38</v>
      </c>
      <c r="F462" s="3">
        <v>10000</v>
      </c>
      <c r="G462">
        <v>0</v>
      </c>
      <c r="H462" t="s">
        <v>29</v>
      </c>
      <c r="I462" t="s">
        <v>25</v>
      </c>
      <c r="J462" t="s">
        <v>15</v>
      </c>
      <c r="K462">
        <v>2</v>
      </c>
      <c r="L462" t="s">
        <v>26</v>
      </c>
      <c r="M462" t="s">
        <v>17</v>
      </c>
      <c r="N462">
        <v>35</v>
      </c>
      <c r="O462" t="str" cm="1">
        <f t="array" ref="O462">_xlfn.IFS(N462&gt;=54,"old",N462&gt;=31,"middle age",N462&gt;=18,"adolsent",N462&lt;18,"invalid")</f>
        <v>middle age</v>
      </c>
      <c r="P462" t="s">
        <v>18</v>
      </c>
    </row>
    <row r="463" spans="3:16" x14ac:dyDescent="0.3">
      <c r="C463">
        <v>19193</v>
      </c>
      <c r="D463" t="s">
        <v>37</v>
      </c>
      <c r="E463" t="s">
        <v>38</v>
      </c>
      <c r="F463" s="3">
        <v>40000</v>
      </c>
      <c r="G463">
        <v>2</v>
      </c>
      <c r="H463" t="s">
        <v>19</v>
      </c>
      <c r="I463" t="s">
        <v>20</v>
      </c>
      <c r="J463" t="s">
        <v>15</v>
      </c>
      <c r="K463">
        <v>0</v>
      </c>
      <c r="L463" t="s">
        <v>26</v>
      </c>
      <c r="M463" t="s">
        <v>17</v>
      </c>
      <c r="N463">
        <v>35</v>
      </c>
      <c r="O463" t="str" cm="1">
        <f t="array" ref="O463">_xlfn.IFS(N463&gt;=54,"old",N463&gt;=31,"middle age",N463&gt;=18,"adolsent",N463&lt;18,"invalid")</f>
        <v>middle age</v>
      </c>
      <c r="P463" t="s">
        <v>15</v>
      </c>
    </row>
    <row r="464" spans="3:16" x14ac:dyDescent="0.3">
      <c r="C464">
        <v>19217</v>
      </c>
      <c r="D464" t="s">
        <v>36</v>
      </c>
      <c r="E464" t="s">
        <v>38</v>
      </c>
      <c r="F464" s="3">
        <v>30000</v>
      </c>
      <c r="G464">
        <v>2</v>
      </c>
      <c r="H464" t="s">
        <v>27</v>
      </c>
      <c r="I464" t="s">
        <v>14</v>
      </c>
      <c r="J464" t="s">
        <v>15</v>
      </c>
      <c r="K464">
        <v>2</v>
      </c>
      <c r="L464" t="s">
        <v>26</v>
      </c>
      <c r="M464" t="s">
        <v>32</v>
      </c>
      <c r="N464">
        <v>49</v>
      </c>
      <c r="O464" t="str" cm="1">
        <f t="array" ref="O464">_xlfn.IFS(N464&gt;=54,"old",N464&gt;=31,"middle age",N464&gt;=18,"adolsent",N464&lt;18,"invalid")</f>
        <v>middle age</v>
      </c>
      <c r="P464" t="s">
        <v>18</v>
      </c>
    </row>
    <row r="465" spans="3:16" x14ac:dyDescent="0.3">
      <c r="C465">
        <v>19223</v>
      </c>
      <c r="D465" t="s">
        <v>36</v>
      </c>
      <c r="E465" t="s">
        <v>39</v>
      </c>
      <c r="F465" s="3">
        <v>30000</v>
      </c>
      <c r="G465">
        <v>2</v>
      </c>
      <c r="H465" t="s">
        <v>27</v>
      </c>
      <c r="I465" t="s">
        <v>14</v>
      </c>
      <c r="J465" t="s">
        <v>15</v>
      </c>
      <c r="K465">
        <v>2</v>
      </c>
      <c r="L465" t="s">
        <v>26</v>
      </c>
      <c r="M465" t="s">
        <v>32</v>
      </c>
      <c r="N465">
        <v>48</v>
      </c>
      <c r="O465" t="str" cm="1">
        <f t="array" ref="O465">_xlfn.IFS(N465&gt;=54,"old",N465&gt;=31,"middle age",N465&gt;=18,"adolsent",N465&lt;18,"invalid")</f>
        <v>middle age</v>
      </c>
      <c r="P465" t="s">
        <v>18</v>
      </c>
    </row>
    <row r="466" spans="3:16" x14ac:dyDescent="0.3">
      <c r="C466">
        <v>19228</v>
      </c>
      <c r="D466" t="s">
        <v>36</v>
      </c>
      <c r="E466" t="s">
        <v>39</v>
      </c>
      <c r="F466" s="3">
        <v>40000</v>
      </c>
      <c r="G466">
        <v>2</v>
      </c>
      <c r="H466" t="s">
        <v>19</v>
      </c>
      <c r="I466" t="s">
        <v>20</v>
      </c>
      <c r="J466" t="s">
        <v>15</v>
      </c>
      <c r="K466">
        <v>1</v>
      </c>
      <c r="L466" t="s">
        <v>16</v>
      </c>
      <c r="M466" t="s">
        <v>32</v>
      </c>
      <c r="N466">
        <v>48</v>
      </c>
      <c r="O466" t="str" cm="1">
        <f t="array" ref="O466">_xlfn.IFS(N466&gt;=54,"old",N466&gt;=31,"middle age",N466&gt;=18,"adolsent",N466&lt;18,"invalid")</f>
        <v>middle age</v>
      </c>
      <c r="P466" t="s">
        <v>18</v>
      </c>
    </row>
    <row r="467" spans="3:16" x14ac:dyDescent="0.3">
      <c r="C467">
        <v>19235</v>
      </c>
      <c r="D467" t="s">
        <v>36</v>
      </c>
      <c r="E467" t="s">
        <v>39</v>
      </c>
      <c r="F467" s="3">
        <v>50000</v>
      </c>
      <c r="G467">
        <v>0</v>
      </c>
      <c r="H467" t="s">
        <v>31</v>
      </c>
      <c r="I467" t="s">
        <v>14</v>
      </c>
      <c r="J467" t="s">
        <v>15</v>
      </c>
      <c r="K467">
        <v>0</v>
      </c>
      <c r="L467" t="s">
        <v>16</v>
      </c>
      <c r="M467" t="s">
        <v>32</v>
      </c>
      <c r="N467">
        <v>34</v>
      </c>
      <c r="O467" t="str" cm="1">
        <f t="array" ref="O467">_xlfn.IFS(N467&gt;=54,"old",N467&gt;=31,"middle age",N467&gt;=18,"adolsent",N467&lt;18,"invalid")</f>
        <v>middle age</v>
      </c>
      <c r="P467" t="s">
        <v>18</v>
      </c>
    </row>
    <row r="468" spans="3:16" x14ac:dyDescent="0.3">
      <c r="C468">
        <v>19255</v>
      </c>
      <c r="D468" t="s">
        <v>37</v>
      </c>
      <c r="E468" t="s">
        <v>38</v>
      </c>
      <c r="F468" s="3">
        <v>10000</v>
      </c>
      <c r="G468">
        <v>2</v>
      </c>
      <c r="H468" t="s">
        <v>19</v>
      </c>
      <c r="I468" t="s">
        <v>25</v>
      </c>
      <c r="J468" t="s">
        <v>15</v>
      </c>
      <c r="K468">
        <v>1</v>
      </c>
      <c r="L468" t="s">
        <v>16</v>
      </c>
      <c r="M468" t="s">
        <v>17</v>
      </c>
      <c r="N468">
        <v>51</v>
      </c>
      <c r="O468" t="str" cm="1">
        <f t="array" ref="O468">_xlfn.IFS(N468&gt;=54,"old",N468&gt;=31,"middle age",N468&gt;=18,"adolsent",N468&lt;18,"invalid")</f>
        <v>middle age</v>
      </c>
      <c r="P468" t="s">
        <v>15</v>
      </c>
    </row>
    <row r="469" spans="3:16" x14ac:dyDescent="0.3">
      <c r="C469">
        <v>19273</v>
      </c>
      <c r="D469" t="s">
        <v>36</v>
      </c>
      <c r="E469" t="s">
        <v>39</v>
      </c>
      <c r="F469" s="3">
        <v>20000</v>
      </c>
      <c r="G469">
        <v>2</v>
      </c>
      <c r="H469" t="s">
        <v>19</v>
      </c>
      <c r="I469" t="s">
        <v>25</v>
      </c>
      <c r="J469" t="s">
        <v>15</v>
      </c>
      <c r="K469">
        <v>0</v>
      </c>
      <c r="L469" t="s">
        <v>16</v>
      </c>
      <c r="M469" t="s">
        <v>17</v>
      </c>
      <c r="N469">
        <v>63</v>
      </c>
      <c r="O469" t="str" cm="1">
        <f t="array" ref="O469">_xlfn.IFS(N469&gt;=54,"old",N469&gt;=31,"middle age",N469&gt;=18,"adolsent",N469&lt;18,"invalid")</f>
        <v>old</v>
      </c>
      <c r="P469" t="s">
        <v>18</v>
      </c>
    </row>
    <row r="470" spans="3:16" x14ac:dyDescent="0.3">
      <c r="C470">
        <v>19280</v>
      </c>
      <c r="D470" t="s">
        <v>36</v>
      </c>
      <c r="E470" t="s">
        <v>38</v>
      </c>
      <c r="F470" s="3">
        <v>120000</v>
      </c>
      <c r="G470">
        <v>2</v>
      </c>
      <c r="H470" t="s">
        <v>19</v>
      </c>
      <c r="I470" t="s">
        <v>25</v>
      </c>
      <c r="J470" t="s">
        <v>15</v>
      </c>
      <c r="K470">
        <v>1</v>
      </c>
      <c r="L470" t="s">
        <v>16</v>
      </c>
      <c r="M470" t="s">
        <v>17</v>
      </c>
      <c r="N470">
        <v>40</v>
      </c>
      <c r="O470" t="str" cm="1">
        <f t="array" ref="O470">_xlfn.IFS(N470&gt;=54,"old",N470&gt;=31,"middle age",N470&gt;=18,"adolsent",N470&lt;18,"invalid")</f>
        <v>middle age</v>
      </c>
      <c r="P470" t="s">
        <v>15</v>
      </c>
    </row>
    <row r="471" spans="3:16" x14ac:dyDescent="0.3">
      <c r="C471">
        <v>19291</v>
      </c>
      <c r="D471" t="s">
        <v>37</v>
      </c>
      <c r="E471" t="s">
        <v>39</v>
      </c>
      <c r="F471" s="3">
        <v>10000</v>
      </c>
      <c r="G471">
        <v>2</v>
      </c>
      <c r="H471" t="s">
        <v>27</v>
      </c>
      <c r="I471" t="s">
        <v>25</v>
      </c>
      <c r="J471" t="s">
        <v>15</v>
      </c>
      <c r="K471">
        <v>0</v>
      </c>
      <c r="L471" t="s">
        <v>16</v>
      </c>
      <c r="M471" t="s">
        <v>17</v>
      </c>
      <c r="N471">
        <v>35</v>
      </c>
      <c r="O471" t="str" cm="1">
        <f t="array" ref="O471">_xlfn.IFS(N471&gt;=54,"old",N471&gt;=31,"middle age",N471&gt;=18,"adolsent",N471&lt;18,"invalid")</f>
        <v>middle age</v>
      </c>
      <c r="P471" t="s">
        <v>18</v>
      </c>
    </row>
    <row r="472" spans="3:16" x14ac:dyDescent="0.3">
      <c r="C472">
        <v>19299</v>
      </c>
      <c r="D472" t="s">
        <v>36</v>
      </c>
      <c r="E472" t="s">
        <v>39</v>
      </c>
      <c r="F472" s="3">
        <v>50000</v>
      </c>
      <c r="G472">
        <v>0</v>
      </c>
      <c r="H472" t="s">
        <v>31</v>
      </c>
      <c r="I472" t="s">
        <v>14</v>
      </c>
      <c r="J472" t="s">
        <v>15</v>
      </c>
      <c r="K472">
        <v>0</v>
      </c>
      <c r="L472" t="s">
        <v>16</v>
      </c>
      <c r="M472" t="s">
        <v>17</v>
      </c>
      <c r="N472">
        <v>36</v>
      </c>
      <c r="O472" t="str" cm="1">
        <f t="array" ref="O472">_xlfn.IFS(N472&gt;=54,"old",N472&gt;=31,"middle age",N472&gt;=18,"adolsent",N472&lt;18,"invalid")</f>
        <v>middle age</v>
      </c>
      <c r="P472" t="s">
        <v>15</v>
      </c>
    </row>
    <row r="473" spans="3:16" x14ac:dyDescent="0.3">
      <c r="C473">
        <v>19305</v>
      </c>
      <c r="D473" t="s">
        <v>37</v>
      </c>
      <c r="E473" t="s">
        <v>39</v>
      </c>
      <c r="F473" s="3">
        <v>10000</v>
      </c>
      <c r="G473">
        <v>2</v>
      </c>
      <c r="H473" t="s">
        <v>27</v>
      </c>
      <c r="I473" t="s">
        <v>25</v>
      </c>
      <c r="J473" t="s">
        <v>15</v>
      </c>
      <c r="K473">
        <v>1</v>
      </c>
      <c r="L473" t="s">
        <v>16</v>
      </c>
      <c r="M473" t="s">
        <v>17</v>
      </c>
      <c r="N473">
        <v>38</v>
      </c>
      <c r="O473" t="str" cm="1">
        <f t="array" ref="O473">_xlfn.IFS(N473&gt;=54,"old",N473&gt;=31,"middle age",N473&gt;=18,"adolsent",N473&lt;18,"invalid")</f>
        <v>middle age</v>
      </c>
      <c r="P473" t="s">
        <v>15</v>
      </c>
    </row>
    <row r="474" spans="3:16" x14ac:dyDescent="0.3">
      <c r="C474">
        <v>19331</v>
      </c>
      <c r="D474" t="s">
        <v>37</v>
      </c>
      <c r="E474" t="s">
        <v>38</v>
      </c>
      <c r="F474" s="3">
        <v>20000</v>
      </c>
      <c r="G474">
        <v>2</v>
      </c>
      <c r="H474" t="s">
        <v>27</v>
      </c>
      <c r="I474" t="s">
        <v>25</v>
      </c>
      <c r="J474" t="s">
        <v>15</v>
      </c>
      <c r="K474">
        <v>1</v>
      </c>
      <c r="L474" t="s">
        <v>16</v>
      </c>
      <c r="M474" t="s">
        <v>17</v>
      </c>
      <c r="N474">
        <v>40</v>
      </c>
      <c r="O474" t="str" cm="1">
        <f t="array" ref="O474">_xlfn.IFS(N474&gt;=54,"old",N474&gt;=31,"middle age",N474&gt;=18,"adolsent",N474&lt;18,"invalid")</f>
        <v>middle age</v>
      </c>
      <c r="P474" t="s">
        <v>18</v>
      </c>
    </row>
    <row r="475" spans="3:16" x14ac:dyDescent="0.3">
      <c r="C475">
        <v>19364</v>
      </c>
      <c r="D475" t="s">
        <v>36</v>
      </c>
      <c r="E475" t="s">
        <v>38</v>
      </c>
      <c r="F475" s="3">
        <v>40000</v>
      </c>
      <c r="G475">
        <v>1</v>
      </c>
      <c r="H475" t="s">
        <v>13</v>
      </c>
      <c r="I475" t="s">
        <v>14</v>
      </c>
      <c r="J475" t="s">
        <v>15</v>
      </c>
      <c r="K475">
        <v>0</v>
      </c>
      <c r="L475" t="s">
        <v>16</v>
      </c>
      <c r="M475" t="s">
        <v>17</v>
      </c>
      <c r="N475">
        <v>43</v>
      </c>
      <c r="O475" t="str" cm="1">
        <f t="array" ref="O475">_xlfn.IFS(N475&gt;=54,"old",N475&gt;=31,"middle age",N475&gt;=18,"adolsent",N475&lt;18,"invalid")</f>
        <v>middle age</v>
      </c>
      <c r="P475" t="s">
        <v>15</v>
      </c>
    </row>
    <row r="476" spans="3:16" x14ac:dyDescent="0.3">
      <c r="C476">
        <v>19389</v>
      </c>
      <c r="D476" t="s">
        <v>37</v>
      </c>
      <c r="E476" t="s">
        <v>38</v>
      </c>
      <c r="F476" s="3">
        <v>30000</v>
      </c>
      <c r="G476">
        <v>0</v>
      </c>
      <c r="H476" t="s">
        <v>19</v>
      </c>
      <c r="I476" t="s">
        <v>20</v>
      </c>
      <c r="J476" t="s">
        <v>18</v>
      </c>
      <c r="K476">
        <v>1</v>
      </c>
      <c r="L476" t="s">
        <v>22</v>
      </c>
      <c r="M476" t="s">
        <v>17</v>
      </c>
      <c r="N476">
        <v>28</v>
      </c>
      <c r="O476" t="str" cm="1">
        <f t="array" ref="O476">_xlfn.IFS(N476&gt;=54,"old",N476&gt;=31,"middle age",N476&gt;=18,"adolsent",N476&lt;18,"invalid")</f>
        <v>adolsent</v>
      </c>
      <c r="P476" t="s">
        <v>18</v>
      </c>
    </row>
    <row r="477" spans="3:16" x14ac:dyDescent="0.3">
      <c r="C477">
        <v>19399</v>
      </c>
      <c r="D477" t="s">
        <v>37</v>
      </c>
      <c r="E477" t="s">
        <v>38</v>
      </c>
      <c r="F477" s="3">
        <v>40000</v>
      </c>
      <c r="G477">
        <v>0</v>
      </c>
      <c r="H477" t="s">
        <v>13</v>
      </c>
      <c r="I477" t="s">
        <v>21</v>
      </c>
      <c r="J477" t="s">
        <v>18</v>
      </c>
      <c r="K477">
        <v>1</v>
      </c>
      <c r="L477" t="s">
        <v>22</v>
      </c>
      <c r="M477" t="s">
        <v>32</v>
      </c>
      <c r="N477">
        <v>45</v>
      </c>
      <c r="O477" t="str" cm="1">
        <f t="array" ref="O477">_xlfn.IFS(N477&gt;=54,"old",N477&gt;=31,"middle age",N477&gt;=18,"adolsent",N477&lt;18,"invalid")</f>
        <v>middle age</v>
      </c>
      <c r="P477" t="s">
        <v>18</v>
      </c>
    </row>
    <row r="478" spans="3:16" x14ac:dyDescent="0.3">
      <c r="C478">
        <v>19413</v>
      </c>
      <c r="D478" t="s">
        <v>37</v>
      </c>
      <c r="E478" t="s">
        <v>38</v>
      </c>
      <c r="F478" s="3">
        <v>60000</v>
      </c>
      <c r="G478">
        <v>3</v>
      </c>
      <c r="H478" t="s">
        <v>13</v>
      </c>
      <c r="I478" t="s">
        <v>21</v>
      </c>
      <c r="J478" t="s">
        <v>18</v>
      </c>
      <c r="K478">
        <v>1</v>
      </c>
      <c r="L478" t="s">
        <v>16</v>
      </c>
      <c r="M478" t="s">
        <v>32</v>
      </c>
      <c r="N478">
        <v>47</v>
      </c>
      <c r="O478" t="str" cm="1">
        <f t="array" ref="O478">_xlfn.IFS(N478&gt;=54,"old",N478&gt;=31,"middle age",N478&gt;=18,"adolsent",N478&lt;18,"invalid")</f>
        <v>middle age</v>
      </c>
      <c r="P478" t="s">
        <v>15</v>
      </c>
    </row>
    <row r="479" spans="3:16" x14ac:dyDescent="0.3">
      <c r="C479">
        <v>19441</v>
      </c>
      <c r="D479" t="s">
        <v>36</v>
      </c>
      <c r="E479" t="s">
        <v>38</v>
      </c>
      <c r="F479" s="3">
        <v>40000</v>
      </c>
      <c r="G479">
        <v>0</v>
      </c>
      <c r="H479" t="s">
        <v>31</v>
      </c>
      <c r="I479" t="s">
        <v>20</v>
      </c>
      <c r="J479" t="s">
        <v>15</v>
      </c>
      <c r="K479">
        <v>0</v>
      </c>
      <c r="L479" t="s">
        <v>16</v>
      </c>
      <c r="M479" t="s">
        <v>17</v>
      </c>
      <c r="N479">
        <v>25</v>
      </c>
      <c r="O479" t="str" cm="1">
        <f t="array" ref="O479">_xlfn.IFS(N479&gt;=54,"old",N479&gt;=31,"middle age",N479&gt;=18,"adolsent",N479&lt;18,"invalid")</f>
        <v>adolsent</v>
      </c>
      <c r="P479" t="s">
        <v>15</v>
      </c>
    </row>
    <row r="480" spans="3:16" x14ac:dyDescent="0.3">
      <c r="C480">
        <v>19442</v>
      </c>
      <c r="D480" t="s">
        <v>37</v>
      </c>
      <c r="E480" t="s">
        <v>38</v>
      </c>
      <c r="F480" s="3">
        <v>50000</v>
      </c>
      <c r="G480">
        <v>0</v>
      </c>
      <c r="H480" t="s">
        <v>31</v>
      </c>
      <c r="I480" t="s">
        <v>14</v>
      </c>
      <c r="J480" t="s">
        <v>15</v>
      </c>
      <c r="K480">
        <v>0</v>
      </c>
      <c r="L480" t="s">
        <v>16</v>
      </c>
      <c r="M480" t="s">
        <v>17</v>
      </c>
      <c r="N480">
        <v>37</v>
      </c>
      <c r="O480" t="str" cm="1">
        <f t="array" ref="O480">_xlfn.IFS(N480&gt;=54,"old",N480&gt;=31,"middle age",N480&gt;=18,"adolsent",N480&lt;18,"invalid")</f>
        <v>middle age</v>
      </c>
      <c r="P480" t="s">
        <v>15</v>
      </c>
    </row>
    <row r="481" spans="3:16" x14ac:dyDescent="0.3">
      <c r="C481">
        <v>19445</v>
      </c>
      <c r="D481" t="s">
        <v>36</v>
      </c>
      <c r="E481" t="s">
        <v>39</v>
      </c>
      <c r="F481" s="3">
        <v>10000</v>
      </c>
      <c r="G481">
        <v>2</v>
      </c>
      <c r="H481" t="s">
        <v>27</v>
      </c>
      <c r="I481" t="s">
        <v>25</v>
      </c>
      <c r="J481" t="s">
        <v>18</v>
      </c>
      <c r="K481">
        <v>1</v>
      </c>
      <c r="L481" t="s">
        <v>16</v>
      </c>
      <c r="M481" t="s">
        <v>17</v>
      </c>
      <c r="N481">
        <v>38</v>
      </c>
      <c r="O481" t="str" cm="1">
        <f t="array" ref="O481">_xlfn.IFS(N481&gt;=54,"old",N481&gt;=31,"middle age",N481&gt;=18,"adolsent",N481&lt;18,"invalid")</f>
        <v>middle age</v>
      </c>
      <c r="P481" t="s">
        <v>18</v>
      </c>
    </row>
    <row r="482" spans="3:16" x14ac:dyDescent="0.3">
      <c r="C482">
        <v>19461</v>
      </c>
      <c r="D482" t="s">
        <v>37</v>
      </c>
      <c r="E482" t="s">
        <v>39</v>
      </c>
      <c r="F482" s="3">
        <v>10000</v>
      </c>
      <c r="G482">
        <v>4</v>
      </c>
      <c r="H482" t="s">
        <v>29</v>
      </c>
      <c r="I482" t="s">
        <v>25</v>
      </c>
      <c r="J482" t="s">
        <v>15</v>
      </c>
      <c r="K482">
        <v>2</v>
      </c>
      <c r="L482" t="s">
        <v>16</v>
      </c>
      <c r="M482" t="s">
        <v>17</v>
      </c>
      <c r="N482">
        <v>40</v>
      </c>
      <c r="O482" t="str" cm="1">
        <f t="array" ref="O482">_xlfn.IFS(N482&gt;=54,"old",N482&gt;=31,"middle age",N482&gt;=18,"adolsent",N482&lt;18,"invalid")</f>
        <v>middle age</v>
      </c>
      <c r="P482" t="s">
        <v>18</v>
      </c>
    </row>
    <row r="483" spans="3:16" x14ac:dyDescent="0.3">
      <c r="C483">
        <v>19475</v>
      </c>
      <c r="D483" t="s">
        <v>36</v>
      </c>
      <c r="E483" t="s">
        <v>39</v>
      </c>
      <c r="F483" s="3">
        <v>40000</v>
      </c>
      <c r="G483">
        <v>0</v>
      </c>
      <c r="H483" t="s">
        <v>13</v>
      </c>
      <c r="I483" t="s">
        <v>21</v>
      </c>
      <c r="J483" t="s">
        <v>18</v>
      </c>
      <c r="K483">
        <v>0</v>
      </c>
      <c r="L483" t="s">
        <v>16</v>
      </c>
      <c r="M483" t="s">
        <v>17</v>
      </c>
      <c r="N483">
        <v>40</v>
      </c>
      <c r="O483" t="str" cm="1">
        <f t="array" ref="O483">_xlfn.IFS(N483&gt;=54,"old",N483&gt;=31,"middle age",N483&gt;=18,"adolsent",N483&lt;18,"invalid")</f>
        <v>middle age</v>
      </c>
      <c r="P483" t="s">
        <v>15</v>
      </c>
    </row>
    <row r="484" spans="3:16" x14ac:dyDescent="0.3">
      <c r="C484">
        <v>19477</v>
      </c>
      <c r="D484" t="s">
        <v>36</v>
      </c>
      <c r="E484" t="s">
        <v>38</v>
      </c>
      <c r="F484" s="3">
        <v>40000</v>
      </c>
      <c r="G484">
        <v>0</v>
      </c>
      <c r="H484" t="s">
        <v>13</v>
      </c>
      <c r="I484" t="s">
        <v>21</v>
      </c>
      <c r="J484" t="s">
        <v>15</v>
      </c>
      <c r="K484">
        <v>0</v>
      </c>
      <c r="L484" t="s">
        <v>16</v>
      </c>
      <c r="M484" t="s">
        <v>17</v>
      </c>
      <c r="N484">
        <v>40</v>
      </c>
      <c r="O484" t="str" cm="1">
        <f t="array" ref="O484">_xlfn.IFS(N484&gt;=54,"old",N484&gt;=31,"middle age",N484&gt;=18,"adolsent",N484&lt;18,"invalid")</f>
        <v>middle age</v>
      </c>
      <c r="P484" t="s">
        <v>15</v>
      </c>
    </row>
    <row r="485" spans="3:16" x14ac:dyDescent="0.3">
      <c r="C485">
        <v>19482</v>
      </c>
      <c r="D485" t="s">
        <v>36</v>
      </c>
      <c r="E485" t="s">
        <v>38</v>
      </c>
      <c r="F485" s="3">
        <v>30000</v>
      </c>
      <c r="G485">
        <v>1</v>
      </c>
      <c r="H485" t="s">
        <v>19</v>
      </c>
      <c r="I485" t="s">
        <v>20</v>
      </c>
      <c r="J485" t="s">
        <v>15</v>
      </c>
      <c r="K485">
        <v>1</v>
      </c>
      <c r="L485" t="s">
        <v>16</v>
      </c>
      <c r="M485" t="s">
        <v>17</v>
      </c>
      <c r="N485">
        <v>44</v>
      </c>
      <c r="O485" t="str" cm="1">
        <f t="array" ref="O485">_xlfn.IFS(N485&gt;=54,"old",N485&gt;=31,"middle age",N485&gt;=18,"adolsent",N485&lt;18,"invalid")</f>
        <v>middle age</v>
      </c>
      <c r="P485" t="s">
        <v>15</v>
      </c>
    </row>
    <row r="486" spans="3:16" x14ac:dyDescent="0.3">
      <c r="C486">
        <v>19487</v>
      </c>
      <c r="D486" t="s">
        <v>36</v>
      </c>
      <c r="E486" t="s">
        <v>38</v>
      </c>
      <c r="F486" s="3">
        <v>30000</v>
      </c>
      <c r="G486">
        <v>2</v>
      </c>
      <c r="H486" t="s">
        <v>19</v>
      </c>
      <c r="I486" t="s">
        <v>20</v>
      </c>
      <c r="J486" t="s">
        <v>18</v>
      </c>
      <c r="K486">
        <v>2</v>
      </c>
      <c r="L486" t="s">
        <v>16</v>
      </c>
      <c r="M486" t="s">
        <v>17</v>
      </c>
      <c r="N486">
        <v>42</v>
      </c>
      <c r="O486" t="str" cm="1">
        <f t="array" ref="O486">_xlfn.IFS(N486&gt;=54,"old",N486&gt;=31,"middle age",N486&gt;=18,"adolsent",N486&lt;18,"invalid")</f>
        <v>middle age</v>
      </c>
      <c r="P486" t="s">
        <v>18</v>
      </c>
    </row>
    <row r="487" spans="3:16" x14ac:dyDescent="0.3">
      <c r="C487">
        <v>19491</v>
      </c>
      <c r="D487" t="s">
        <v>37</v>
      </c>
      <c r="E487" t="s">
        <v>38</v>
      </c>
      <c r="F487" s="3">
        <v>30000</v>
      </c>
      <c r="G487">
        <v>2</v>
      </c>
      <c r="H487" t="s">
        <v>19</v>
      </c>
      <c r="I487" t="s">
        <v>20</v>
      </c>
      <c r="J487" t="s">
        <v>15</v>
      </c>
      <c r="K487">
        <v>2</v>
      </c>
      <c r="L487" t="s">
        <v>16</v>
      </c>
      <c r="M487" t="s">
        <v>17</v>
      </c>
      <c r="N487">
        <v>42</v>
      </c>
      <c r="O487" t="str" cm="1">
        <f t="array" ref="O487">_xlfn.IFS(N487&gt;=54,"old",N487&gt;=31,"middle age",N487&gt;=18,"adolsent",N487&lt;18,"invalid")</f>
        <v>middle age</v>
      </c>
      <c r="P487" t="s">
        <v>18</v>
      </c>
    </row>
    <row r="488" spans="3:16" x14ac:dyDescent="0.3">
      <c r="C488">
        <v>19508</v>
      </c>
      <c r="D488" t="s">
        <v>36</v>
      </c>
      <c r="E488" t="s">
        <v>38</v>
      </c>
      <c r="F488" s="3">
        <v>10000</v>
      </c>
      <c r="G488">
        <v>0</v>
      </c>
      <c r="H488" t="s">
        <v>29</v>
      </c>
      <c r="I488" t="s">
        <v>25</v>
      </c>
      <c r="J488" t="s">
        <v>18</v>
      </c>
      <c r="K488">
        <v>2</v>
      </c>
      <c r="L488" t="s">
        <v>16</v>
      </c>
      <c r="M488" t="s">
        <v>17</v>
      </c>
      <c r="N488">
        <v>30</v>
      </c>
      <c r="O488" t="str" cm="1">
        <f t="array" ref="O488">_xlfn.IFS(N488&gt;=54,"old",N488&gt;=31,"middle age",N488&gt;=18,"adolsent",N488&lt;18,"invalid")</f>
        <v>adolsent</v>
      </c>
      <c r="P488" t="s">
        <v>18</v>
      </c>
    </row>
    <row r="489" spans="3:16" x14ac:dyDescent="0.3">
      <c r="C489">
        <v>19543</v>
      </c>
      <c r="D489" t="s">
        <v>36</v>
      </c>
      <c r="E489" t="s">
        <v>38</v>
      </c>
      <c r="F489" s="3">
        <v>70000</v>
      </c>
      <c r="G489">
        <v>5</v>
      </c>
      <c r="H489" t="s">
        <v>31</v>
      </c>
      <c r="I489" t="s">
        <v>21</v>
      </c>
      <c r="J489" t="s">
        <v>18</v>
      </c>
      <c r="K489">
        <v>3</v>
      </c>
      <c r="L489" t="s">
        <v>30</v>
      </c>
      <c r="M489" t="s">
        <v>32</v>
      </c>
      <c r="N489">
        <v>47</v>
      </c>
      <c r="O489" t="str" cm="1">
        <f t="array" ref="O489">_xlfn.IFS(N489&gt;=54,"old",N489&gt;=31,"middle age",N489&gt;=18,"adolsent",N489&lt;18,"invalid")</f>
        <v>middle age</v>
      </c>
      <c r="P489" t="s">
        <v>18</v>
      </c>
    </row>
    <row r="490" spans="3:16" x14ac:dyDescent="0.3">
      <c r="C490">
        <v>19562</v>
      </c>
      <c r="D490" t="s">
        <v>37</v>
      </c>
      <c r="E490" t="s">
        <v>39</v>
      </c>
      <c r="F490" s="3">
        <v>60000</v>
      </c>
      <c r="G490">
        <v>2</v>
      </c>
      <c r="H490" t="s">
        <v>13</v>
      </c>
      <c r="I490" t="s">
        <v>21</v>
      </c>
      <c r="J490" t="s">
        <v>15</v>
      </c>
      <c r="K490">
        <v>1</v>
      </c>
      <c r="L490" t="s">
        <v>22</v>
      </c>
      <c r="M490" t="s">
        <v>24</v>
      </c>
      <c r="N490">
        <v>37</v>
      </c>
      <c r="O490" t="str" cm="1">
        <f t="array" ref="O490">_xlfn.IFS(N490&gt;=54,"old",N490&gt;=31,"middle age",N490&gt;=18,"adolsent",N490&lt;18,"invalid")</f>
        <v>middle age</v>
      </c>
      <c r="P490" t="s">
        <v>15</v>
      </c>
    </row>
    <row r="491" spans="3:16" x14ac:dyDescent="0.3">
      <c r="C491">
        <v>19608</v>
      </c>
      <c r="D491" t="s">
        <v>36</v>
      </c>
      <c r="E491" t="s">
        <v>38</v>
      </c>
      <c r="F491" s="3">
        <v>80000</v>
      </c>
      <c r="G491">
        <v>5</v>
      </c>
      <c r="H491" t="s">
        <v>13</v>
      </c>
      <c r="I491" t="s">
        <v>21</v>
      </c>
      <c r="J491" t="s">
        <v>15</v>
      </c>
      <c r="K491">
        <v>4</v>
      </c>
      <c r="L491" t="s">
        <v>26</v>
      </c>
      <c r="M491" t="s">
        <v>24</v>
      </c>
      <c r="N491">
        <v>40</v>
      </c>
      <c r="O491" t="str" cm="1">
        <f t="array" ref="O491">_xlfn.IFS(N491&gt;=54,"old",N491&gt;=31,"middle age",N491&gt;=18,"adolsent",N491&lt;18,"invalid")</f>
        <v>middle age</v>
      </c>
      <c r="P491" t="s">
        <v>18</v>
      </c>
    </row>
    <row r="492" spans="3:16" x14ac:dyDescent="0.3">
      <c r="C492">
        <v>19618</v>
      </c>
      <c r="D492" t="s">
        <v>36</v>
      </c>
      <c r="E492" t="s">
        <v>38</v>
      </c>
      <c r="F492" s="3">
        <v>70000</v>
      </c>
      <c r="G492">
        <v>5</v>
      </c>
      <c r="H492" t="s">
        <v>19</v>
      </c>
      <c r="I492" t="s">
        <v>14</v>
      </c>
      <c r="J492" t="s">
        <v>15</v>
      </c>
      <c r="K492">
        <v>2</v>
      </c>
      <c r="L492" t="s">
        <v>16</v>
      </c>
      <c r="M492" t="s">
        <v>24</v>
      </c>
      <c r="N492">
        <v>44</v>
      </c>
      <c r="O492" t="str" cm="1">
        <f t="array" ref="O492">_xlfn.IFS(N492&gt;=54,"old",N492&gt;=31,"middle age",N492&gt;=18,"adolsent",N492&lt;18,"invalid")</f>
        <v>middle age</v>
      </c>
      <c r="P492" t="s">
        <v>18</v>
      </c>
    </row>
    <row r="493" spans="3:16" x14ac:dyDescent="0.3">
      <c r="C493">
        <v>19626</v>
      </c>
      <c r="D493" t="s">
        <v>36</v>
      </c>
      <c r="E493" t="s">
        <v>38</v>
      </c>
      <c r="F493" s="3">
        <v>70000</v>
      </c>
      <c r="G493">
        <v>5</v>
      </c>
      <c r="H493" t="s">
        <v>19</v>
      </c>
      <c r="I493" t="s">
        <v>14</v>
      </c>
      <c r="J493" t="s">
        <v>15</v>
      </c>
      <c r="K493">
        <v>3</v>
      </c>
      <c r="L493" t="s">
        <v>23</v>
      </c>
      <c r="M493" t="s">
        <v>24</v>
      </c>
      <c r="N493">
        <v>45</v>
      </c>
      <c r="O493" t="str" cm="1">
        <f t="array" ref="O493">_xlfn.IFS(N493&gt;=54,"old",N493&gt;=31,"middle age",N493&gt;=18,"adolsent",N493&lt;18,"invalid")</f>
        <v>middle age</v>
      </c>
      <c r="P493" t="s">
        <v>18</v>
      </c>
    </row>
    <row r="494" spans="3:16" x14ac:dyDescent="0.3">
      <c r="C494">
        <v>19634</v>
      </c>
      <c r="D494" t="s">
        <v>36</v>
      </c>
      <c r="E494" t="s">
        <v>38</v>
      </c>
      <c r="F494" s="3">
        <v>40000</v>
      </c>
      <c r="G494">
        <v>0</v>
      </c>
      <c r="H494" t="s">
        <v>27</v>
      </c>
      <c r="I494" t="s">
        <v>14</v>
      </c>
      <c r="J494" t="s">
        <v>15</v>
      </c>
      <c r="K494">
        <v>1</v>
      </c>
      <c r="L494" t="s">
        <v>23</v>
      </c>
      <c r="M494" t="s">
        <v>32</v>
      </c>
      <c r="N494">
        <v>31</v>
      </c>
      <c r="O494" t="str" cm="1">
        <f t="array" ref="O494">_xlfn.IFS(N494&gt;=54,"old",N494&gt;=31,"middle age",N494&gt;=18,"adolsent",N494&lt;18,"invalid")</f>
        <v>middle age</v>
      </c>
      <c r="P494" t="s">
        <v>18</v>
      </c>
    </row>
    <row r="495" spans="3:16" x14ac:dyDescent="0.3">
      <c r="C495">
        <v>19650</v>
      </c>
      <c r="D495" t="s">
        <v>36</v>
      </c>
      <c r="E495" t="s">
        <v>39</v>
      </c>
      <c r="F495" s="3">
        <v>30000</v>
      </c>
      <c r="G495">
        <v>2</v>
      </c>
      <c r="H495" t="s">
        <v>19</v>
      </c>
      <c r="I495" t="s">
        <v>20</v>
      </c>
      <c r="J495" t="s">
        <v>18</v>
      </c>
      <c r="K495">
        <v>2</v>
      </c>
      <c r="L495" t="s">
        <v>16</v>
      </c>
      <c r="M495" t="s">
        <v>24</v>
      </c>
      <c r="N495">
        <v>67</v>
      </c>
      <c r="O495" t="str" cm="1">
        <f t="array" ref="O495">_xlfn.IFS(N495&gt;=54,"old",N495&gt;=31,"middle age",N495&gt;=18,"adolsent",N495&lt;18,"invalid")</f>
        <v>old</v>
      </c>
      <c r="P495" t="s">
        <v>18</v>
      </c>
    </row>
    <row r="496" spans="3:16" x14ac:dyDescent="0.3">
      <c r="C496">
        <v>19660</v>
      </c>
      <c r="D496" t="s">
        <v>36</v>
      </c>
      <c r="E496" t="s">
        <v>38</v>
      </c>
      <c r="F496" s="3">
        <v>80000</v>
      </c>
      <c r="G496">
        <v>4</v>
      </c>
      <c r="H496" t="s">
        <v>13</v>
      </c>
      <c r="I496" t="s">
        <v>28</v>
      </c>
      <c r="J496" t="s">
        <v>15</v>
      </c>
      <c r="K496">
        <v>0</v>
      </c>
      <c r="L496" t="s">
        <v>16</v>
      </c>
      <c r="M496" t="s">
        <v>32</v>
      </c>
      <c r="N496">
        <v>43</v>
      </c>
      <c r="O496" t="str" cm="1">
        <f t="array" ref="O496">_xlfn.IFS(N496&gt;=54,"old",N496&gt;=31,"middle age",N496&gt;=18,"adolsent",N496&lt;18,"invalid")</f>
        <v>middle age</v>
      </c>
      <c r="P496" t="s">
        <v>18</v>
      </c>
    </row>
    <row r="497" spans="3:16" x14ac:dyDescent="0.3">
      <c r="C497">
        <v>19661</v>
      </c>
      <c r="D497" t="s">
        <v>37</v>
      </c>
      <c r="E497" t="s">
        <v>38</v>
      </c>
      <c r="F497" s="3">
        <v>90000</v>
      </c>
      <c r="G497">
        <v>4</v>
      </c>
      <c r="H497" t="s">
        <v>13</v>
      </c>
      <c r="I497" t="s">
        <v>28</v>
      </c>
      <c r="J497" t="s">
        <v>15</v>
      </c>
      <c r="K497">
        <v>1</v>
      </c>
      <c r="L497" t="s">
        <v>26</v>
      </c>
      <c r="M497" t="s">
        <v>32</v>
      </c>
      <c r="N497">
        <v>38</v>
      </c>
      <c r="O497" t="str" cm="1">
        <f t="array" ref="O497">_xlfn.IFS(N497&gt;=54,"old",N497&gt;=31,"middle age",N497&gt;=18,"adolsent",N497&lt;18,"invalid")</f>
        <v>middle age</v>
      </c>
      <c r="P497" t="s">
        <v>15</v>
      </c>
    </row>
    <row r="498" spans="3:16" x14ac:dyDescent="0.3">
      <c r="C498">
        <v>19664</v>
      </c>
      <c r="D498" t="s">
        <v>37</v>
      </c>
      <c r="E498" t="s">
        <v>38</v>
      </c>
      <c r="F498" s="3">
        <v>100000</v>
      </c>
      <c r="G498">
        <v>3</v>
      </c>
      <c r="H498" t="s">
        <v>13</v>
      </c>
      <c r="I498" t="s">
        <v>28</v>
      </c>
      <c r="J498" t="s">
        <v>18</v>
      </c>
      <c r="K498">
        <v>3</v>
      </c>
      <c r="L498" t="s">
        <v>26</v>
      </c>
      <c r="M498" t="s">
        <v>32</v>
      </c>
      <c r="N498">
        <v>38</v>
      </c>
      <c r="O498" t="str" cm="1">
        <f t="array" ref="O498">_xlfn.IFS(N498&gt;=54,"old",N498&gt;=31,"middle age",N498&gt;=18,"adolsent",N498&lt;18,"invalid")</f>
        <v>middle age</v>
      </c>
      <c r="P498" t="s">
        <v>18</v>
      </c>
    </row>
    <row r="499" spans="3:16" x14ac:dyDescent="0.3">
      <c r="C499">
        <v>19675</v>
      </c>
      <c r="D499" t="s">
        <v>36</v>
      </c>
      <c r="E499" t="s">
        <v>38</v>
      </c>
      <c r="F499" s="3">
        <v>20000</v>
      </c>
      <c r="G499">
        <v>4</v>
      </c>
      <c r="H499" t="s">
        <v>27</v>
      </c>
      <c r="I499" t="s">
        <v>14</v>
      </c>
      <c r="J499" t="s">
        <v>15</v>
      </c>
      <c r="K499">
        <v>2</v>
      </c>
      <c r="L499" t="s">
        <v>23</v>
      </c>
      <c r="M499" t="s">
        <v>24</v>
      </c>
      <c r="N499">
        <v>60</v>
      </c>
      <c r="O499" t="str" cm="1">
        <f t="array" ref="O499">_xlfn.IFS(N499&gt;=54,"old",N499&gt;=31,"middle age",N499&gt;=18,"adolsent",N499&lt;18,"invalid")</f>
        <v>old</v>
      </c>
      <c r="P499" t="s">
        <v>18</v>
      </c>
    </row>
    <row r="500" spans="3:16" x14ac:dyDescent="0.3">
      <c r="C500">
        <v>19731</v>
      </c>
      <c r="D500" t="s">
        <v>36</v>
      </c>
      <c r="E500" t="s">
        <v>38</v>
      </c>
      <c r="F500" s="3">
        <v>80000</v>
      </c>
      <c r="G500">
        <v>4</v>
      </c>
      <c r="H500" t="s">
        <v>31</v>
      </c>
      <c r="I500" t="s">
        <v>28</v>
      </c>
      <c r="J500" t="s">
        <v>15</v>
      </c>
      <c r="K500">
        <v>2</v>
      </c>
      <c r="L500" t="s">
        <v>23</v>
      </c>
      <c r="M500" t="s">
        <v>32</v>
      </c>
      <c r="N500">
        <v>68</v>
      </c>
      <c r="O500" t="str" cm="1">
        <f t="array" ref="O500">_xlfn.IFS(N500&gt;=54,"old",N500&gt;=31,"middle age",N500&gt;=18,"adolsent",N500&lt;18,"invalid")</f>
        <v>old</v>
      </c>
      <c r="P500" t="s">
        <v>18</v>
      </c>
    </row>
    <row r="501" spans="3:16" x14ac:dyDescent="0.3">
      <c r="C501">
        <v>19741</v>
      </c>
      <c r="D501" t="s">
        <v>37</v>
      </c>
      <c r="E501" t="s">
        <v>39</v>
      </c>
      <c r="F501" s="3">
        <v>80000</v>
      </c>
      <c r="G501">
        <v>4</v>
      </c>
      <c r="H501" t="s">
        <v>31</v>
      </c>
      <c r="I501" t="s">
        <v>28</v>
      </c>
      <c r="J501" t="s">
        <v>15</v>
      </c>
      <c r="K501">
        <v>2</v>
      </c>
      <c r="L501" t="s">
        <v>23</v>
      </c>
      <c r="M501" t="s">
        <v>32</v>
      </c>
      <c r="N501">
        <v>65</v>
      </c>
      <c r="O501" t="str" cm="1">
        <f t="array" ref="O501">_xlfn.IFS(N501&gt;=54,"old",N501&gt;=31,"middle age",N501&gt;=18,"adolsent",N501&lt;18,"invalid")</f>
        <v>old</v>
      </c>
      <c r="P501" t="s">
        <v>18</v>
      </c>
    </row>
    <row r="502" spans="3:16" x14ac:dyDescent="0.3">
      <c r="C502">
        <v>19747</v>
      </c>
      <c r="D502" t="s">
        <v>36</v>
      </c>
      <c r="E502" t="s">
        <v>38</v>
      </c>
      <c r="F502" s="3">
        <v>50000</v>
      </c>
      <c r="G502">
        <v>4</v>
      </c>
      <c r="H502" t="s">
        <v>13</v>
      </c>
      <c r="I502" t="s">
        <v>28</v>
      </c>
      <c r="J502" t="s">
        <v>15</v>
      </c>
      <c r="K502">
        <v>2</v>
      </c>
      <c r="L502" t="s">
        <v>30</v>
      </c>
      <c r="M502" t="s">
        <v>32</v>
      </c>
      <c r="N502">
        <v>63</v>
      </c>
      <c r="O502" t="str" cm="1">
        <f t="array" ref="O502">_xlfn.IFS(N502&gt;=54,"old",N502&gt;=31,"middle age",N502&gt;=18,"adolsent",N502&lt;18,"invalid")</f>
        <v>old</v>
      </c>
      <c r="P502" t="s">
        <v>18</v>
      </c>
    </row>
    <row r="503" spans="3:16" x14ac:dyDescent="0.3">
      <c r="C503">
        <v>19748</v>
      </c>
      <c r="D503" t="s">
        <v>36</v>
      </c>
      <c r="E503" t="s">
        <v>38</v>
      </c>
      <c r="F503" s="3">
        <v>20000</v>
      </c>
      <c r="G503">
        <v>4</v>
      </c>
      <c r="H503" t="s">
        <v>27</v>
      </c>
      <c r="I503" t="s">
        <v>14</v>
      </c>
      <c r="J503" t="s">
        <v>18</v>
      </c>
      <c r="K503">
        <v>2</v>
      </c>
      <c r="L503" t="s">
        <v>26</v>
      </c>
      <c r="M503" t="s">
        <v>24</v>
      </c>
      <c r="N503">
        <v>60</v>
      </c>
      <c r="O503" t="str" cm="1">
        <f t="array" ref="O503">_xlfn.IFS(N503&gt;=54,"old",N503&gt;=31,"middle age",N503&gt;=18,"adolsent",N503&lt;18,"invalid")</f>
        <v>old</v>
      </c>
      <c r="P503" t="s">
        <v>18</v>
      </c>
    </row>
    <row r="504" spans="3:16" x14ac:dyDescent="0.3">
      <c r="C504">
        <v>19758</v>
      </c>
      <c r="D504" t="s">
        <v>37</v>
      </c>
      <c r="E504" t="s">
        <v>38</v>
      </c>
      <c r="F504" s="3">
        <v>60000</v>
      </c>
      <c r="G504">
        <v>0</v>
      </c>
      <c r="H504" t="s">
        <v>19</v>
      </c>
      <c r="I504" t="s">
        <v>14</v>
      </c>
      <c r="J504" t="s">
        <v>18</v>
      </c>
      <c r="K504">
        <v>2</v>
      </c>
      <c r="L504" t="s">
        <v>26</v>
      </c>
      <c r="M504" t="s">
        <v>32</v>
      </c>
      <c r="N504">
        <v>29</v>
      </c>
      <c r="O504" t="str" cm="1">
        <f t="array" ref="O504">_xlfn.IFS(N504&gt;=54,"old",N504&gt;=31,"middle age",N504&gt;=18,"adolsent",N504&lt;18,"invalid")</f>
        <v>adolsent</v>
      </c>
      <c r="P504" t="s">
        <v>18</v>
      </c>
    </row>
    <row r="505" spans="3:16" x14ac:dyDescent="0.3">
      <c r="C505">
        <v>19784</v>
      </c>
      <c r="D505" t="s">
        <v>36</v>
      </c>
      <c r="E505" t="s">
        <v>39</v>
      </c>
      <c r="F505" s="3">
        <v>80000</v>
      </c>
      <c r="G505">
        <v>2</v>
      </c>
      <c r="H505" t="s">
        <v>27</v>
      </c>
      <c r="I505" t="s">
        <v>14</v>
      </c>
      <c r="J505" t="s">
        <v>15</v>
      </c>
      <c r="K505">
        <v>2</v>
      </c>
      <c r="L505" t="s">
        <v>23</v>
      </c>
      <c r="M505" t="s">
        <v>24</v>
      </c>
      <c r="N505">
        <v>50</v>
      </c>
      <c r="O505" t="str" cm="1">
        <f t="array" ref="O505">_xlfn.IFS(N505&gt;=54,"old",N505&gt;=31,"middle age",N505&gt;=18,"adolsent",N505&lt;18,"invalid")</f>
        <v>middle age</v>
      </c>
      <c r="P505" t="s">
        <v>15</v>
      </c>
    </row>
    <row r="506" spans="3:16" x14ac:dyDescent="0.3">
      <c r="C506">
        <v>19812</v>
      </c>
      <c r="D506" t="s">
        <v>37</v>
      </c>
      <c r="E506" t="s">
        <v>39</v>
      </c>
      <c r="F506" s="3">
        <v>70000</v>
      </c>
      <c r="G506">
        <v>2</v>
      </c>
      <c r="H506" t="s">
        <v>19</v>
      </c>
      <c r="I506" t="s">
        <v>21</v>
      </c>
      <c r="J506" t="s">
        <v>15</v>
      </c>
      <c r="K506">
        <v>0</v>
      </c>
      <c r="L506" t="s">
        <v>23</v>
      </c>
      <c r="M506" t="s">
        <v>32</v>
      </c>
      <c r="N506">
        <v>49</v>
      </c>
      <c r="O506" t="str" cm="1">
        <f t="array" ref="O506">_xlfn.IFS(N506&gt;=54,"old",N506&gt;=31,"middle age",N506&gt;=18,"adolsent",N506&lt;18,"invalid")</f>
        <v>middle age</v>
      </c>
      <c r="P506" t="s">
        <v>15</v>
      </c>
    </row>
    <row r="507" spans="3:16" x14ac:dyDescent="0.3">
      <c r="C507">
        <v>19856</v>
      </c>
      <c r="D507" t="s">
        <v>36</v>
      </c>
      <c r="E507" t="s">
        <v>39</v>
      </c>
      <c r="F507" s="3">
        <v>60000</v>
      </c>
      <c r="G507">
        <v>4</v>
      </c>
      <c r="H507" t="s">
        <v>13</v>
      </c>
      <c r="I507" t="s">
        <v>28</v>
      </c>
      <c r="J507" t="s">
        <v>15</v>
      </c>
      <c r="K507">
        <v>2</v>
      </c>
      <c r="L507" t="s">
        <v>22</v>
      </c>
      <c r="M507" t="s">
        <v>32</v>
      </c>
      <c r="N507">
        <v>60</v>
      </c>
      <c r="O507" t="str" cm="1">
        <f t="array" ref="O507">_xlfn.IFS(N507&gt;=54,"old",N507&gt;=31,"middle age",N507&gt;=18,"adolsent",N507&lt;18,"invalid")</f>
        <v>old</v>
      </c>
      <c r="P507" t="s">
        <v>18</v>
      </c>
    </row>
    <row r="508" spans="3:16" x14ac:dyDescent="0.3">
      <c r="C508">
        <v>19884</v>
      </c>
      <c r="D508" t="s">
        <v>36</v>
      </c>
      <c r="E508" t="s">
        <v>38</v>
      </c>
      <c r="F508" s="3">
        <v>60000</v>
      </c>
      <c r="G508">
        <v>2</v>
      </c>
      <c r="H508" t="s">
        <v>27</v>
      </c>
      <c r="I508" t="s">
        <v>21</v>
      </c>
      <c r="J508" t="s">
        <v>15</v>
      </c>
      <c r="K508">
        <v>2</v>
      </c>
      <c r="L508" t="s">
        <v>22</v>
      </c>
      <c r="M508" t="s">
        <v>32</v>
      </c>
      <c r="N508">
        <v>55</v>
      </c>
      <c r="O508" t="str" cm="1">
        <f t="array" ref="O508">_xlfn.IFS(N508&gt;=54,"old",N508&gt;=31,"middle age",N508&gt;=18,"adolsent",N508&lt;18,"invalid")</f>
        <v>old</v>
      </c>
      <c r="P508" t="s">
        <v>15</v>
      </c>
    </row>
    <row r="509" spans="3:16" x14ac:dyDescent="0.3">
      <c r="C509">
        <v>19889</v>
      </c>
      <c r="D509" t="s">
        <v>37</v>
      </c>
      <c r="E509" t="s">
        <v>39</v>
      </c>
      <c r="F509" s="3">
        <v>70000</v>
      </c>
      <c r="G509">
        <v>2</v>
      </c>
      <c r="H509" t="s">
        <v>29</v>
      </c>
      <c r="I509" t="s">
        <v>14</v>
      </c>
      <c r="J509" t="s">
        <v>18</v>
      </c>
      <c r="K509">
        <v>2</v>
      </c>
      <c r="L509" t="s">
        <v>22</v>
      </c>
      <c r="M509" t="s">
        <v>32</v>
      </c>
      <c r="N509">
        <v>54</v>
      </c>
      <c r="O509" t="str" cm="1">
        <f t="array" ref="O509">_xlfn.IFS(N509&gt;=54,"old",N509&gt;=31,"middle age",N509&gt;=18,"adolsent",N509&lt;18,"invalid")</f>
        <v>old</v>
      </c>
      <c r="P509" t="s">
        <v>15</v>
      </c>
    </row>
    <row r="510" spans="3:16" x14ac:dyDescent="0.3">
      <c r="C510">
        <v>19914</v>
      </c>
      <c r="D510" t="s">
        <v>36</v>
      </c>
      <c r="E510" t="s">
        <v>38</v>
      </c>
      <c r="F510" s="3">
        <v>80000</v>
      </c>
      <c r="G510">
        <v>5</v>
      </c>
      <c r="H510" t="s">
        <v>13</v>
      </c>
      <c r="I510" t="s">
        <v>28</v>
      </c>
      <c r="J510" t="s">
        <v>15</v>
      </c>
      <c r="K510">
        <v>2</v>
      </c>
      <c r="L510" t="s">
        <v>22</v>
      </c>
      <c r="M510" t="s">
        <v>17</v>
      </c>
      <c r="N510">
        <v>62</v>
      </c>
      <c r="O510" t="str" cm="1">
        <f t="array" ref="O510">_xlfn.IFS(N510&gt;=54,"old",N510&gt;=31,"middle age",N510&gt;=18,"adolsent",N510&lt;18,"invalid")</f>
        <v>old</v>
      </c>
      <c r="P510" t="s">
        <v>18</v>
      </c>
    </row>
    <row r="511" spans="3:16" x14ac:dyDescent="0.3">
      <c r="C511">
        <v>20000</v>
      </c>
      <c r="D511" t="s">
        <v>36</v>
      </c>
      <c r="E511" t="s">
        <v>38</v>
      </c>
      <c r="F511" s="3">
        <v>60000</v>
      </c>
      <c r="G511">
        <v>1</v>
      </c>
      <c r="H511" t="s">
        <v>31</v>
      </c>
      <c r="I511" t="s">
        <v>21</v>
      </c>
      <c r="J511" t="s">
        <v>15</v>
      </c>
      <c r="K511">
        <v>0</v>
      </c>
      <c r="L511" t="s">
        <v>16</v>
      </c>
      <c r="M511" t="s">
        <v>32</v>
      </c>
      <c r="N511">
        <v>35</v>
      </c>
      <c r="O511" t="str" cm="1">
        <f t="array" ref="O511">_xlfn.IFS(N511&gt;=54,"old",N511&gt;=31,"middle age",N511&gt;=18,"adolsent",N511&lt;18,"invalid")</f>
        <v>middle age</v>
      </c>
      <c r="P511" t="s">
        <v>15</v>
      </c>
    </row>
    <row r="512" spans="3:16" x14ac:dyDescent="0.3">
      <c r="C512">
        <v>20053</v>
      </c>
      <c r="D512" t="s">
        <v>37</v>
      </c>
      <c r="E512" t="s">
        <v>38</v>
      </c>
      <c r="F512" s="3">
        <v>40000</v>
      </c>
      <c r="G512">
        <v>2</v>
      </c>
      <c r="H512" t="s">
        <v>19</v>
      </c>
      <c r="I512" t="s">
        <v>20</v>
      </c>
      <c r="J512" t="s">
        <v>15</v>
      </c>
      <c r="K512">
        <v>0</v>
      </c>
      <c r="L512" t="s">
        <v>16</v>
      </c>
      <c r="M512" t="s">
        <v>17</v>
      </c>
      <c r="N512">
        <v>34</v>
      </c>
      <c r="O512" t="str" cm="1">
        <f t="array" ref="O512">_xlfn.IFS(N512&gt;=54,"old",N512&gt;=31,"middle age",N512&gt;=18,"adolsent",N512&lt;18,"invalid")</f>
        <v>middle age</v>
      </c>
      <c r="P512" t="s">
        <v>18</v>
      </c>
    </row>
    <row r="513" spans="3:16" x14ac:dyDescent="0.3">
      <c r="C513">
        <v>20060</v>
      </c>
      <c r="D513" t="s">
        <v>37</v>
      </c>
      <c r="E513" t="s">
        <v>39</v>
      </c>
      <c r="F513" s="3">
        <v>30000</v>
      </c>
      <c r="G513">
        <v>0</v>
      </c>
      <c r="H513" t="s">
        <v>27</v>
      </c>
      <c r="I513" t="s">
        <v>25</v>
      </c>
      <c r="J513" t="s">
        <v>18</v>
      </c>
      <c r="K513">
        <v>1</v>
      </c>
      <c r="L513" t="s">
        <v>22</v>
      </c>
      <c r="M513" t="s">
        <v>17</v>
      </c>
      <c r="N513">
        <v>34</v>
      </c>
      <c r="O513" t="str" cm="1">
        <f t="array" ref="O513">_xlfn.IFS(N513&gt;=54,"old",N513&gt;=31,"middle age",N513&gt;=18,"adolsent",N513&lt;18,"invalid")</f>
        <v>middle age</v>
      </c>
      <c r="P513" t="s">
        <v>15</v>
      </c>
    </row>
    <row r="514" spans="3:16" x14ac:dyDescent="0.3">
      <c r="C514">
        <v>20076</v>
      </c>
      <c r="D514" t="s">
        <v>37</v>
      </c>
      <c r="E514" t="s">
        <v>39</v>
      </c>
      <c r="F514" s="3">
        <v>10000</v>
      </c>
      <c r="G514">
        <v>2</v>
      </c>
      <c r="H514" t="s">
        <v>27</v>
      </c>
      <c r="I514" t="s">
        <v>25</v>
      </c>
      <c r="J514" t="s">
        <v>15</v>
      </c>
      <c r="K514">
        <v>2</v>
      </c>
      <c r="L514" t="s">
        <v>26</v>
      </c>
      <c r="M514" t="s">
        <v>32</v>
      </c>
      <c r="N514">
        <v>53</v>
      </c>
      <c r="O514" t="str" cm="1">
        <f t="array" ref="O514">_xlfn.IFS(N514&gt;=54,"old",N514&gt;=31,"middle age",N514&gt;=18,"adolsent",N514&lt;18,"invalid")</f>
        <v>middle age</v>
      </c>
      <c r="P514" t="s">
        <v>15</v>
      </c>
    </row>
    <row r="515" spans="3:16" x14ac:dyDescent="0.3">
      <c r="C515">
        <v>20084</v>
      </c>
      <c r="D515" t="s">
        <v>36</v>
      </c>
      <c r="E515" t="s">
        <v>38</v>
      </c>
      <c r="F515" s="3">
        <v>20000</v>
      </c>
      <c r="G515">
        <v>2</v>
      </c>
      <c r="H515" t="s">
        <v>27</v>
      </c>
      <c r="I515" t="s">
        <v>25</v>
      </c>
      <c r="J515" t="s">
        <v>18</v>
      </c>
      <c r="K515">
        <v>2</v>
      </c>
      <c r="L515" t="s">
        <v>16</v>
      </c>
      <c r="M515" t="s">
        <v>32</v>
      </c>
      <c r="N515">
        <v>53</v>
      </c>
      <c r="O515" t="str" cm="1">
        <f t="array" ref="O515">_xlfn.IFS(N515&gt;=54,"old",N515&gt;=31,"middle age",N515&gt;=18,"adolsent",N515&lt;18,"invalid")</f>
        <v>middle age</v>
      </c>
      <c r="P515" t="s">
        <v>18</v>
      </c>
    </row>
    <row r="516" spans="3:16" x14ac:dyDescent="0.3">
      <c r="C516">
        <v>20147</v>
      </c>
      <c r="D516" t="s">
        <v>36</v>
      </c>
      <c r="E516" t="s">
        <v>39</v>
      </c>
      <c r="F516" s="3">
        <v>30000</v>
      </c>
      <c r="G516">
        <v>1</v>
      </c>
      <c r="H516" t="s">
        <v>13</v>
      </c>
      <c r="I516" t="s">
        <v>20</v>
      </c>
      <c r="J516" t="s">
        <v>15</v>
      </c>
      <c r="K516">
        <v>0</v>
      </c>
      <c r="L516" t="s">
        <v>16</v>
      </c>
      <c r="M516" t="s">
        <v>17</v>
      </c>
      <c r="N516">
        <v>65</v>
      </c>
      <c r="O516" t="str" cm="1">
        <f t="array" ref="O516">_xlfn.IFS(N516&gt;=54,"old",N516&gt;=31,"middle age",N516&gt;=18,"adolsent",N516&lt;18,"invalid")</f>
        <v>old</v>
      </c>
      <c r="P516" t="s">
        <v>18</v>
      </c>
    </row>
    <row r="517" spans="3:16" x14ac:dyDescent="0.3">
      <c r="C517">
        <v>20171</v>
      </c>
      <c r="D517" t="s">
        <v>36</v>
      </c>
      <c r="E517" t="s">
        <v>39</v>
      </c>
      <c r="F517" s="3">
        <v>20000</v>
      </c>
      <c r="G517">
        <v>2</v>
      </c>
      <c r="H517" t="s">
        <v>19</v>
      </c>
      <c r="I517" t="s">
        <v>25</v>
      </c>
      <c r="J517" t="s">
        <v>15</v>
      </c>
      <c r="K517">
        <v>1</v>
      </c>
      <c r="L517" t="s">
        <v>16</v>
      </c>
      <c r="M517" t="s">
        <v>17</v>
      </c>
      <c r="N517">
        <v>46</v>
      </c>
      <c r="O517" t="str" cm="1">
        <f t="array" ref="O517">_xlfn.IFS(N517&gt;=54,"old",N517&gt;=31,"middle age",N517&gt;=18,"adolsent",N517&lt;18,"invalid")</f>
        <v>middle age</v>
      </c>
      <c r="P517" t="s">
        <v>15</v>
      </c>
    </row>
    <row r="518" spans="3:16" x14ac:dyDescent="0.3">
      <c r="C518">
        <v>20196</v>
      </c>
      <c r="D518" t="s">
        <v>36</v>
      </c>
      <c r="E518" t="s">
        <v>38</v>
      </c>
      <c r="F518" s="3">
        <v>60000</v>
      </c>
      <c r="G518">
        <v>1</v>
      </c>
      <c r="H518" t="s">
        <v>19</v>
      </c>
      <c r="I518" t="s">
        <v>14</v>
      </c>
      <c r="J518" t="s">
        <v>15</v>
      </c>
      <c r="K518">
        <v>1</v>
      </c>
      <c r="L518" t="s">
        <v>22</v>
      </c>
      <c r="M518" t="s">
        <v>32</v>
      </c>
      <c r="N518">
        <v>45</v>
      </c>
      <c r="O518" t="str" cm="1">
        <f t="array" ref="O518">_xlfn.IFS(N518&gt;=54,"old",N518&gt;=31,"middle age",N518&gt;=18,"adolsent",N518&lt;18,"invalid")</f>
        <v>middle age</v>
      </c>
      <c r="P518" t="s">
        <v>15</v>
      </c>
    </row>
    <row r="519" spans="3:16" x14ac:dyDescent="0.3">
      <c r="C519">
        <v>20228</v>
      </c>
      <c r="D519" t="s">
        <v>36</v>
      </c>
      <c r="E519" t="s">
        <v>38</v>
      </c>
      <c r="F519" s="3">
        <v>100000</v>
      </c>
      <c r="G519">
        <v>0</v>
      </c>
      <c r="H519" t="s">
        <v>31</v>
      </c>
      <c r="I519" t="s">
        <v>28</v>
      </c>
      <c r="J519" t="s">
        <v>15</v>
      </c>
      <c r="K519">
        <v>0</v>
      </c>
      <c r="L519" t="s">
        <v>22</v>
      </c>
      <c r="M519" t="s">
        <v>24</v>
      </c>
      <c r="N519">
        <v>40</v>
      </c>
      <c r="O519" t="str" cm="1">
        <f t="array" ref="O519">_xlfn.IFS(N519&gt;=54,"old",N519&gt;=31,"middle age",N519&gt;=18,"adolsent",N519&lt;18,"invalid")</f>
        <v>middle age</v>
      </c>
      <c r="P519" t="s">
        <v>15</v>
      </c>
    </row>
    <row r="520" spans="3:16" x14ac:dyDescent="0.3">
      <c r="C520">
        <v>20236</v>
      </c>
      <c r="D520" t="s">
        <v>37</v>
      </c>
      <c r="E520" t="s">
        <v>38</v>
      </c>
      <c r="F520" s="3">
        <v>60000</v>
      </c>
      <c r="G520">
        <v>3</v>
      </c>
      <c r="H520" t="s">
        <v>13</v>
      </c>
      <c r="I520" t="s">
        <v>21</v>
      </c>
      <c r="J520" t="s">
        <v>18</v>
      </c>
      <c r="K520">
        <v>2</v>
      </c>
      <c r="L520" t="s">
        <v>16</v>
      </c>
      <c r="M520" t="s">
        <v>24</v>
      </c>
      <c r="N520">
        <v>43</v>
      </c>
      <c r="O520" t="str" cm="1">
        <f t="array" ref="O520">_xlfn.IFS(N520&gt;=54,"old",N520&gt;=31,"middle age",N520&gt;=18,"adolsent",N520&lt;18,"invalid")</f>
        <v>middle age</v>
      </c>
      <c r="P520" t="s">
        <v>15</v>
      </c>
    </row>
    <row r="521" spans="3:16" x14ac:dyDescent="0.3">
      <c r="C521">
        <v>20277</v>
      </c>
      <c r="D521" t="s">
        <v>36</v>
      </c>
      <c r="E521" t="s">
        <v>39</v>
      </c>
      <c r="F521" s="3">
        <v>30000</v>
      </c>
      <c r="G521">
        <v>2</v>
      </c>
      <c r="H521" t="s">
        <v>19</v>
      </c>
      <c r="I521" t="s">
        <v>20</v>
      </c>
      <c r="J521" t="s">
        <v>18</v>
      </c>
      <c r="K521">
        <v>2</v>
      </c>
      <c r="L521" t="s">
        <v>16</v>
      </c>
      <c r="M521" t="s">
        <v>24</v>
      </c>
      <c r="N521">
        <v>69</v>
      </c>
      <c r="O521" t="str" cm="1">
        <f t="array" ref="O521">_xlfn.IFS(N521&gt;=54,"old",N521&gt;=31,"middle age",N521&gt;=18,"adolsent",N521&lt;18,"invalid")</f>
        <v>old</v>
      </c>
      <c r="P521" t="s">
        <v>18</v>
      </c>
    </row>
    <row r="522" spans="3:16" x14ac:dyDescent="0.3">
      <c r="C522">
        <v>20296</v>
      </c>
      <c r="D522" t="s">
        <v>37</v>
      </c>
      <c r="E522" t="s">
        <v>39</v>
      </c>
      <c r="F522" s="3">
        <v>60000</v>
      </c>
      <c r="G522">
        <v>0</v>
      </c>
      <c r="H522" t="s">
        <v>19</v>
      </c>
      <c r="I522" t="s">
        <v>14</v>
      </c>
      <c r="J522" t="s">
        <v>18</v>
      </c>
      <c r="K522">
        <v>1</v>
      </c>
      <c r="L522" t="s">
        <v>26</v>
      </c>
      <c r="M522" t="s">
        <v>32</v>
      </c>
      <c r="N522">
        <v>33</v>
      </c>
      <c r="O522" t="str" cm="1">
        <f t="array" ref="O522">_xlfn.IFS(N522&gt;=54,"old",N522&gt;=31,"middle age",N522&gt;=18,"adolsent",N522&lt;18,"invalid")</f>
        <v>middle age</v>
      </c>
      <c r="P522" t="s">
        <v>15</v>
      </c>
    </row>
    <row r="523" spans="3:16" x14ac:dyDescent="0.3">
      <c r="C523">
        <v>20310</v>
      </c>
      <c r="D523" t="s">
        <v>37</v>
      </c>
      <c r="E523" t="s">
        <v>38</v>
      </c>
      <c r="F523" s="3">
        <v>60000</v>
      </c>
      <c r="G523">
        <v>0</v>
      </c>
      <c r="H523" t="s">
        <v>19</v>
      </c>
      <c r="I523" t="s">
        <v>14</v>
      </c>
      <c r="J523" t="s">
        <v>15</v>
      </c>
      <c r="K523">
        <v>1</v>
      </c>
      <c r="L523" t="s">
        <v>23</v>
      </c>
      <c r="M523" t="s">
        <v>32</v>
      </c>
      <c r="N523">
        <v>27</v>
      </c>
      <c r="O523" t="str" cm="1">
        <f t="array" ref="O523">_xlfn.IFS(N523&gt;=54,"old",N523&gt;=31,"middle age",N523&gt;=18,"adolsent",N523&lt;18,"invalid")</f>
        <v>adolsent</v>
      </c>
      <c r="P523" t="s">
        <v>15</v>
      </c>
    </row>
    <row r="524" spans="3:16" x14ac:dyDescent="0.3">
      <c r="C524">
        <v>20339</v>
      </c>
      <c r="D524" t="s">
        <v>36</v>
      </c>
      <c r="E524" t="s">
        <v>39</v>
      </c>
      <c r="F524" s="3">
        <v>130000</v>
      </c>
      <c r="G524">
        <v>1</v>
      </c>
      <c r="H524" t="s">
        <v>13</v>
      </c>
      <c r="I524" t="s">
        <v>28</v>
      </c>
      <c r="J524" t="s">
        <v>15</v>
      </c>
      <c r="K524">
        <v>4</v>
      </c>
      <c r="L524" t="s">
        <v>22</v>
      </c>
      <c r="M524" t="s">
        <v>32</v>
      </c>
      <c r="N524">
        <v>44</v>
      </c>
      <c r="O524" t="str" cm="1">
        <f t="array" ref="O524">_xlfn.IFS(N524&gt;=54,"old",N524&gt;=31,"middle age",N524&gt;=18,"adolsent",N524&lt;18,"invalid")</f>
        <v>middle age</v>
      </c>
      <c r="P524" t="s">
        <v>15</v>
      </c>
    </row>
    <row r="525" spans="3:16" x14ac:dyDescent="0.3">
      <c r="C525">
        <v>20343</v>
      </c>
      <c r="D525" t="s">
        <v>36</v>
      </c>
      <c r="E525" t="s">
        <v>39</v>
      </c>
      <c r="F525" s="3">
        <v>90000</v>
      </c>
      <c r="G525">
        <v>4</v>
      </c>
      <c r="H525" t="s">
        <v>19</v>
      </c>
      <c r="I525" t="s">
        <v>21</v>
      </c>
      <c r="J525" t="s">
        <v>15</v>
      </c>
      <c r="K525">
        <v>1</v>
      </c>
      <c r="L525" t="s">
        <v>26</v>
      </c>
      <c r="M525" t="s">
        <v>32</v>
      </c>
      <c r="N525">
        <v>45</v>
      </c>
      <c r="O525" t="str" cm="1">
        <f t="array" ref="O525">_xlfn.IFS(N525&gt;=54,"old",N525&gt;=31,"middle age",N525&gt;=18,"adolsent",N525&lt;18,"invalid")</f>
        <v>middle age</v>
      </c>
      <c r="P525" t="s">
        <v>18</v>
      </c>
    </row>
    <row r="526" spans="3:16" x14ac:dyDescent="0.3">
      <c r="C526">
        <v>20361</v>
      </c>
      <c r="D526" t="s">
        <v>36</v>
      </c>
      <c r="E526" t="s">
        <v>38</v>
      </c>
      <c r="F526" s="3">
        <v>50000</v>
      </c>
      <c r="G526">
        <v>2</v>
      </c>
      <c r="H526" t="s">
        <v>31</v>
      </c>
      <c r="I526" t="s">
        <v>28</v>
      </c>
      <c r="J526" t="s">
        <v>15</v>
      </c>
      <c r="K526">
        <v>2</v>
      </c>
      <c r="L526" t="s">
        <v>23</v>
      </c>
      <c r="M526" t="s">
        <v>32</v>
      </c>
      <c r="N526">
        <v>69</v>
      </c>
      <c r="O526" t="str" cm="1">
        <f t="array" ref="O526">_xlfn.IFS(N526&gt;=54,"old",N526&gt;=31,"middle age",N526&gt;=18,"adolsent",N526&lt;18,"invalid")</f>
        <v>old</v>
      </c>
      <c r="P526" t="s">
        <v>18</v>
      </c>
    </row>
    <row r="527" spans="3:16" x14ac:dyDescent="0.3">
      <c r="C527">
        <v>20370</v>
      </c>
      <c r="D527" t="s">
        <v>36</v>
      </c>
      <c r="E527" t="s">
        <v>38</v>
      </c>
      <c r="F527" s="3">
        <v>70000</v>
      </c>
      <c r="G527">
        <v>3</v>
      </c>
      <c r="H527" t="s">
        <v>29</v>
      </c>
      <c r="I527" t="s">
        <v>14</v>
      </c>
      <c r="J527" t="s">
        <v>15</v>
      </c>
      <c r="K527">
        <v>2</v>
      </c>
      <c r="L527" t="s">
        <v>23</v>
      </c>
      <c r="M527" t="s">
        <v>32</v>
      </c>
      <c r="N527">
        <v>52</v>
      </c>
      <c r="O527" t="str" cm="1">
        <f t="array" ref="O527">_xlfn.IFS(N527&gt;=54,"old",N527&gt;=31,"middle age",N527&gt;=18,"adolsent",N527&lt;18,"invalid")</f>
        <v>middle age</v>
      </c>
      <c r="P527" t="s">
        <v>18</v>
      </c>
    </row>
    <row r="528" spans="3:16" x14ac:dyDescent="0.3">
      <c r="C528">
        <v>20376</v>
      </c>
      <c r="D528" t="s">
        <v>37</v>
      </c>
      <c r="E528" t="s">
        <v>39</v>
      </c>
      <c r="F528" s="3">
        <v>70000</v>
      </c>
      <c r="G528">
        <v>3</v>
      </c>
      <c r="H528" t="s">
        <v>31</v>
      </c>
      <c r="I528" t="s">
        <v>28</v>
      </c>
      <c r="J528" t="s">
        <v>15</v>
      </c>
      <c r="K528">
        <v>2</v>
      </c>
      <c r="L528" t="s">
        <v>23</v>
      </c>
      <c r="M528" t="s">
        <v>32</v>
      </c>
      <c r="N528">
        <v>52</v>
      </c>
      <c r="O528" t="str" cm="1">
        <f t="array" ref="O528">_xlfn.IFS(N528&gt;=54,"old",N528&gt;=31,"middle age",N528&gt;=18,"adolsent",N528&lt;18,"invalid")</f>
        <v>middle age</v>
      </c>
      <c r="P528" t="s">
        <v>15</v>
      </c>
    </row>
    <row r="529" spans="3:16" x14ac:dyDescent="0.3">
      <c r="C529">
        <v>20380</v>
      </c>
      <c r="D529" t="s">
        <v>36</v>
      </c>
      <c r="E529" t="s">
        <v>39</v>
      </c>
      <c r="F529" s="3">
        <v>60000</v>
      </c>
      <c r="G529">
        <v>3</v>
      </c>
      <c r="H529" t="s">
        <v>31</v>
      </c>
      <c r="I529" t="s">
        <v>28</v>
      </c>
      <c r="J529" t="s">
        <v>15</v>
      </c>
      <c r="K529">
        <v>2</v>
      </c>
      <c r="L529" t="s">
        <v>30</v>
      </c>
      <c r="M529" t="s">
        <v>32</v>
      </c>
      <c r="N529">
        <v>69</v>
      </c>
      <c r="O529" t="str" cm="1">
        <f t="array" ref="O529">_xlfn.IFS(N529&gt;=54,"old",N529&gt;=31,"middle age",N529&gt;=18,"adolsent",N529&lt;18,"invalid")</f>
        <v>old</v>
      </c>
      <c r="P529" t="s">
        <v>18</v>
      </c>
    </row>
    <row r="530" spans="3:16" x14ac:dyDescent="0.3">
      <c r="C530">
        <v>20401</v>
      </c>
      <c r="D530" t="s">
        <v>36</v>
      </c>
      <c r="E530" t="s">
        <v>39</v>
      </c>
      <c r="F530" s="3">
        <v>50000</v>
      </c>
      <c r="G530">
        <v>4</v>
      </c>
      <c r="H530" t="s">
        <v>13</v>
      </c>
      <c r="I530" t="s">
        <v>28</v>
      </c>
      <c r="J530" t="s">
        <v>15</v>
      </c>
      <c r="K530">
        <v>2</v>
      </c>
      <c r="L530" t="s">
        <v>26</v>
      </c>
      <c r="M530" t="s">
        <v>32</v>
      </c>
      <c r="N530">
        <v>64</v>
      </c>
      <c r="O530" t="str" cm="1">
        <f t="array" ref="O530">_xlfn.IFS(N530&gt;=54,"old",N530&gt;=31,"middle age",N530&gt;=18,"adolsent",N530&lt;18,"invalid")</f>
        <v>old</v>
      </c>
      <c r="P530" t="s">
        <v>15</v>
      </c>
    </row>
    <row r="531" spans="3:16" x14ac:dyDescent="0.3">
      <c r="C531">
        <v>20414</v>
      </c>
      <c r="D531" t="s">
        <v>36</v>
      </c>
      <c r="E531" t="s">
        <v>39</v>
      </c>
      <c r="F531" s="3">
        <v>60000</v>
      </c>
      <c r="G531">
        <v>0</v>
      </c>
      <c r="H531" t="s">
        <v>19</v>
      </c>
      <c r="I531" t="s">
        <v>14</v>
      </c>
      <c r="J531" t="s">
        <v>15</v>
      </c>
      <c r="K531">
        <v>2</v>
      </c>
      <c r="L531" t="s">
        <v>23</v>
      </c>
      <c r="M531" t="s">
        <v>32</v>
      </c>
      <c r="N531">
        <v>29</v>
      </c>
      <c r="O531" t="str" cm="1">
        <f t="array" ref="O531">_xlfn.IFS(N531&gt;=54,"old",N531&gt;=31,"middle age",N531&gt;=18,"adolsent",N531&lt;18,"invalid")</f>
        <v>adolsent</v>
      </c>
      <c r="P531" t="s">
        <v>18</v>
      </c>
    </row>
    <row r="532" spans="3:16" x14ac:dyDescent="0.3">
      <c r="C532">
        <v>20417</v>
      </c>
      <c r="D532" t="s">
        <v>36</v>
      </c>
      <c r="E532" t="s">
        <v>38</v>
      </c>
      <c r="F532" s="3">
        <v>30000</v>
      </c>
      <c r="G532">
        <v>3</v>
      </c>
      <c r="H532" t="s">
        <v>19</v>
      </c>
      <c r="I532" t="s">
        <v>20</v>
      </c>
      <c r="J532" t="s">
        <v>18</v>
      </c>
      <c r="K532">
        <v>2</v>
      </c>
      <c r="L532" t="s">
        <v>23</v>
      </c>
      <c r="M532" t="s">
        <v>24</v>
      </c>
      <c r="N532">
        <v>56</v>
      </c>
      <c r="O532" t="str" cm="1">
        <f t="array" ref="O532">_xlfn.IFS(N532&gt;=54,"old",N532&gt;=31,"middle age",N532&gt;=18,"adolsent",N532&lt;18,"invalid")</f>
        <v>old</v>
      </c>
      <c r="P532" t="s">
        <v>18</v>
      </c>
    </row>
    <row r="533" spans="3:16" x14ac:dyDescent="0.3">
      <c r="C533">
        <v>20421</v>
      </c>
      <c r="D533" t="s">
        <v>37</v>
      </c>
      <c r="E533" t="s">
        <v>39</v>
      </c>
      <c r="F533" s="3">
        <v>40000</v>
      </c>
      <c r="G533">
        <v>0</v>
      </c>
      <c r="H533" t="s">
        <v>29</v>
      </c>
      <c r="I533" t="s">
        <v>20</v>
      </c>
      <c r="J533" t="s">
        <v>15</v>
      </c>
      <c r="K533">
        <v>2</v>
      </c>
      <c r="L533" t="s">
        <v>23</v>
      </c>
      <c r="M533" t="s">
        <v>32</v>
      </c>
      <c r="N533">
        <v>26</v>
      </c>
      <c r="O533" t="str" cm="1">
        <f t="array" ref="O533">_xlfn.IFS(N533&gt;=54,"old",N533&gt;=31,"middle age",N533&gt;=18,"adolsent",N533&lt;18,"invalid")</f>
        <v>adolsent</v>
      </c>
      <c r="P533" t="s">
        <v>18</v>
      </c>
    </row>
    <row r="534" spans="3:16" x14ac:dyDescent="0.3">
      <c r="C534">
        <v>20430</v>
      </c>
      <c r="D534" t="s">
        <v>36</v>
      </c>
      <c r="E534" t="s">
        <v>38</v>
      </c>
      <c r="F534" s="3">
        <v>70000</v>
      </c>
      <c r="G534">
        <v>2</v>
      </c>
      <c r="H534" t="s">
        <v>19</v>
      </c>
      <c r="I534" t="s">
        <v>14</v>
      </c>
      <c r="J534" t="s">
        <v>15</v>
      </c>
      <c r="K534">
        <v>2</v>
      </c>
      <c r="L534" t="s">
        <v>23</v>
      </c>
      <c r="M534" t="s">
        <v>24</v>
      </c>
      <c r="N534">
        <v>52</v>
      </c>
      <c r="O534" t="str" cm="1">
        <f t="array" ref="O534">_xlfn.IFS(N534&gt;=54,"old",N534&gt;=31,"middle age",N534&gt;=18,"adolsent",N534&lt;18,"invalid")</f>
        <v>middle age</v>
      </c>
      <c r="P534" t="s">
        <v>15</v>
      </c>
    </row>
    <row r="535" spans="3:16" x14ac:dyDescent="0.3">
      <c r="C535">
        <v>20504</v>
      </c>
      <c r="D535" t="s">
        <v>36</v>
      </c>
      <c r="E535" t="s">
        <v>39</v>
      </c>
      <c r="F535" s="3">
        <v>40000</v>
      </c>
      <c r="G535">
        <v>5</v>
      </c>
      <c r="H535" t="s">
        <v>27</v>
      </c>
      <c r="I535" t="s">
        <v>21</v>
      </c>
      <c r="J535" t="s">
        <v>18</v>
      </c>
      <c r="K535">
        <v>2</v>
      </c>
      <c r="L535" t="s">
        <v>22</v>
      </c>
      <c r="M535" t="s">
        <v>32</v>
      </c>
      <c r="N535">
        <v>60</v>
      </c>
      <c r="O535" t="str" cm="1">
        <f t="array" ref="O535">_xlfn.IFS(N535&gt;=54,"old",N535&gt;=31,"middle age",N535&gt;=18,"adolsent",N535&lt;18,"invalid")</f>
        <v>old</v>
      </c>
      <c r="P535" t="s">
        <v>18</v>
      </c>
    </row>
    <row r="536" spans="3:16" x14ac:dyDescent="0.3">
      <c r="C536">
        <v>20505</v>
      </c>
      <c r="D536" t="s">
        <v>36</v>
      </c>
      <c r="E536" t="s">
        <v>39</v>
      </c>
      <c r="F536" s="3">
        <v>40000</v>
      </c>
      <c r="G536">
        <v>5</v>
      </c>
      <c r="H536" t="s">
        <v>27</v>
      </c>
      <c r="I536" t="s">
        <v>21</v>
      </c>
      <c r="J536" t="s">
        <v>18</v>
      </c>
      <c r="K536">
        <v>2</v>
      </c>
      <c r="L536" t="s">
        <v>30</v>
      </c>
      <c r="M536" t="s">
        <v>32</v>
      </c>
      <c r="N536">
        <v>61</v>
      </c>
      <c r="O536" t="str" cm="1">
        <f t="array" ref="O536">_xlfn.IFS(N536&gt;=54,"old",N536&gt;=31,"middle age",N536&gt;=18,"adolsent",N536&lt;18,"invalid")</f>
        <v>old</v>
      </c>
      <c r="P536" t="s">
        <v>18</v>
      </c>
    </row>
    <row r="537" spans="3:16" x14ac:dyDescent="0.3">
      <c r="C537">
        <v>20514</v>
      </c>
      <c r="D537" t="s">
        <v>36</v>
      </c>
      <c r="E537" t="s">
        <v>39</v>
      </c>
      <c r="F537" s="3">
        <v>70000</v>
      </c>
      <c r="G537">
        <v>2</v>
      </c>
      <c r="H537" t="s">
        <v>19</v>
      </c>
      <c r="I537" t="s">
        <v>21</v>
      </c>
      <c r="J537" t="s">
        <v>15</v>
      </c>
      <c r="K537">
        <v>1</v>
      </c>
      <c r="L537" t="s">
        <v>22</v>
      </c>
      <c r="M537" t="s">
        <v>32</v>
      </c>
      <c r="N537">
        <v>59</v>
      </c>
      <c r="O537" t="str" cm="1">
        <f t="array" ref="O537">_xlfn.IFS(N537&gt;=54,"old",N537&gt;=31,"middle age",N537&gt;=18,"adolsent",N537&lt;18,"invalid")</f>
        <v>old</v>
      </c>
      <c r="P537" t="s">
        <v>18</v>
      </c>
    </row>
    <row r="538" spans="3:16" x14ac:dyDescent="0.3">
      <c r="C538">
        <v>20518</v>
      </c>
      <c r="D538" t="s">
        <v>36</v>
      </c>
      <c r="E538" t="s">
        <v>39</v>
      </c>
      <c r="F538" s="3">
        <v>70000</v>
      </c>
      <c r="G538">
        <v>2</v>
      </c>
      <c r="H538" t="s">
        <v>19</v>
      </c>
      <c r="I538" t="s">
        <v>21</v>
      </c>
      <c r="J538" t="s">
        <v>15</v>
      </c>
      <c r="K538">
        <v>1</v>
      </c>
      <c r="L538" t="s">
        <v>30</v>
      </c>
      <c r="M538" t="s">
        <v>32</v>
      </c>
      <c r="N538">
        <v>58</v>
      </c>
      <c r="O538" t="str" cm="1">
        <f t="array" ref="O538">_xlfn.IFS(N538&gt;=54,"old",N538&gt;=31,"middle age",N538&gt;=18,"adolsent",N538&lt;18,"invalid")</f>
        <v>old</v>
      </c>
      <c r="P538" t="s">
        <v>18</v>
      </c>
    </row>
    <row r="539" spans="3:16" x14ac:dyDescent="0.3">
      <c r="C539">
        <v>20528</v>
      </c>
      <c r="D539" t="s">
        <v>36</v>
      </c>
      <c r="E539" t="s">
        <v>38</v>
      </c>
      <c r="F539" s="3">
        <v>40000</v>
      </c>
      <c r="G539">
        <v>2</v>
      </c>
      <c r="H539" t="s">
        <v>29</v>
      </c>
      <c r="I539" t="s">
        <v>14</v>
      </c>
      <c r="J539" t="s">
        <v>15</v>
      </c>
      <c r="K539">
        <v>2</v>
      </c>
      <c r="L539" t="s">
        <v>22</v>
      </c>
      <c r="M539" t="s">
        <v>32</v>
      </c>
      <c r="N539">
        <v>55</v>
      </c>
      <c r="O539" t="str" cm="1">
        <f t="array" ref="O539">_xlfn.IFS(N539&gt;=54,"old",N539&gt;=31,"middle age",N539&gt;=18,"adolsent",N539&lt;18,"invalid")</f>
        <v>old</v>
      </c>
      <c r="P539" t="s">
        <v>18</v>
      </c>
    </row>
    <row r="540" spans="3:16" x14ac:dyDescent="0.3">
      <c r="C540">
        <v>20535</v>
      </c>
      <c r="D540" t="s">
        <v>36</v>
      </c>
      <c r="E540" t="s">
        <v>39</v>
      </c>
      <c r="F540" s="3">
        <v>70000</v>
      </c>
      <c r="G540">
        <v>4</v>
      </c>
      <c r="H540" t="s">
        <v>19</v>
      </c>
      <c r="I540" t="s">
        <v>21</v>
      </c>
      <c r="J540" t="s">
        <v>15</v>
      </c>
      <c r="K540">
        <v>1</v>
      </c>
      <c r="L540" t="s">
        <v>30</v>
      </c>
      <c r="M540" t="s">
        <v>32</v>
      </c>
      <c r="N540">
        <v>56</v>
      </c>
      <c r="O540" t="str" cm="1">
        <f t="array" ref="O540">_xlfn.IFS(N540&gt;=54,"old",N540&gt;=31,"middle age",N540&gt;=18,"adolsent",N540&lt;18,"invalid")</f>
        <v>old</v>
      </c>
      <c r="P540" t="s">
        <v>18</v>
      </c>
    </row>
    <row r="541" spans="3:16" x14ac:dyDescent="0.3">
      <c r="C541">
        <v>20567</v>
      </c>
      <c r="D541" t="s">
        <v>36</v>
      </c>
      <c r="E541" t="s">
        <v>38</v>
      </c>
      <c r="F541" s="3">
        <v>130000</v>
      </c>
      <c r="G541">
        <v>4</v>
      </c>
      <c r="H541" t="s">
        <v>19</v>
      </c>
      <c r="I541" t="s">
        <v>21</v>
      </c>
      <c r="J541" t="s">
        <v>18</v>
      </c>
      <c r="K541">
        <v>4</v>
      </c>
      <c r="L541" t="s">
        <v>23</v>
      </c>
      <c r="M541" t="s">
        <v>17</v>
      </c>
      <c r="N541">
        <v>61</v>
      </c>
      <c r="O541" t="str" cm="1">
        <f t="array" ref="O541">_xlfn.IFS(N541&gt;=54,"old",N541&gt;=31,"middle age",N541&gt;=18,"adolsent",N541&lt;18,"invalid")</f>
        <v>old</v>
      </c>
      <c r="P541" t="s">
        <v>15</v>
      </c>
    </row>
    <row r="542" spans="3:16" x14ac:dyDescent="0.3">
      <c r="C542">
        <v>20598</v>
      </c>
      <c r="D542" t="s">
        <v>36</v>
      </c>
      <c r="E542" t="s">
        <v>38</v>
      </c>
      <c r="F542" s="3">
        <v>100000</v>
      </c>
      <c r="G542">
        <v>3</v>
      </c>
      <c r="H542" t="s">
        <v>29</v>
      </c>
      <c r="I542" t="s">
        <v>21</v>
      </c>
      <c r="J542" t="s">
        <v>15</v>
      </c>
      <c r="K542">
        <v>0</v>
      </c>
      <c r="L542" t="s">
        <v>30</v>
      </c>
      <c r="M542" t="s">
        <v>17</v>
      </c>
      <c r="N542">
        <v>59</v>
      </c>
      <c r="O542" t="str" cm="1">
        <f t="array" ref="O542">_xlfn.IFS(N542&gt;=54,"old",N542&gt;=31,"middle age",N542&gt;=18,"adolsent",N542&lt;18,"invalid")</f>
        <v>old</v>
      </c>
      <c r="P542" t="s">
        <v>15</v>
      </c>
    </row>
    <row r="543" spans="3:16" x14ac:dyDescent="0.3">
      <c r="C543">
        <v>20606</v>
      </c>
      <c r="D543" t="s">
        <v>36</v>
      </c>
      <c r="E543" t="s">
        <v>39</v>
      </c>
      <c r="F543" s="3">
        <v>70000</v>
      </c>
      <c r="G543">
        <v>0</v>
      </c>
      <c r="H543" t="s">
        <v>13</v>
      </c>
      <c r="I543" t="s">
        <v>21</v>
      </c>
      <c r="J543" t="s">
        <v>15</v>
      </c>
      <c r="K543">
        <v>4</v>
      </c>
      <c r="L543" t="s">
        <v>30</v>
      </c>
      <c r="M543" t="s">
        <v>24</v>
      </c>
      <c r="N543">
        <v>32</v>
      </c>
      <c r="O543" t="str" cm="1">
        <f t="array" ref="O543">_xlfn.IFS(N543&gt;=54,"old",N543&gt;=31,"middle age",N543&gt;=18,"adolsent",N543&lt;18,"invalid")</f>
        <v>middle age</v>
      </c>
      <c r="P543" t="s">
        <v>15</v>
      </c>
    </row>
    <row r="544" spans="3:16" x14ac:dyDescent="0.3">
      <c r="C544">
        <v>20619</v>
      </c>
      <c r="D544" t="s">
        <v>37</v>
      </c>
      <c r="E544" t="s">
        <v>38</v>
      </c>
      <c r="F544" s="3">
        <v>80000</v>
      </c>
      <c r="G544">
        <v>0</v>
      </c>
      <c r="H544" t="s">
        <v>13</v>
      </c>
      <c r="I544" t="s">
        <v>21</v>
      </c>
      <c r="J544" t="s">
        <v>18</v>
      </c>
      <c r="K544">
        <v>4</v>
      </c>
      <c r="L544" t="s">
        <v>30</v>
      </c>
      <c r="M544" t="s">
        <v>24</v>
      </c>
      <c r="N544">
        <v>35</v>
      </c>
      <c r="O544" t="str" cm="1">
        <f t="array" ref="O544">_xlfn.IFS(N544&gt;=54,"old",N544&gt;=31,"middle age",N544&gt;=18,"adolsent",N544&lt;18,"invalid")</f>
        <v>middle age</v>
      </c>
      <c r="P544" t="s">
        <v>18</v>
      </c>
    </row>
    <row r="545" spans="3:16" x14ac:dyDescent="0.3">
      <c r="C545">
        <v>20625</v>
      </c>
      <c r="D545" t="s">
        <v>36</v>
      </c>
      <c r="E545" t="s">
        <v>38</v>
      </c>
      <c r="F545" s="3">
        <v>100000</v>
      </c>
      <c r="G545">
        <v>0</v>
      </c>
      <c r="H545" t="s">
        <v>27</v>
      </c>
      <c r="I545" t="s">
        <v>28</v>
      </c>
      <c r="J545" t="s">
        <v>15</v>
      </c>
      <c r="K545">
        <v>3</v>
      </c>
      <c r="L545" t="s">
        <v>30</v>
      </c>
      <c r="M545" t="s">
        <v>24</v>
      </c>
      <c r="N545">
        <v>35</v>
      </c>
      <c r="O545" t="str" cm="1">
        <f t="array" ref="O545">_xlfn.IFS(N545&gt;=54,"old",N545&gt;=31,"middle age",N545&gt;=18,"adolsent",N545&lt;18,"invalid")</f>
        <v>middle age</v>
      </c>
      <c r="P545" t="s">
        <v>15</v>
      </c>
    </row>
    <row r="546" spans="3:16" x14ac:dyDescent="0.3">
      <c r="C546">
        <v>20657</v>
      </c>
      <c r="D546" t="s">
        <v>37</v>
      </c>
      <c r="E546" t="s">
        <v>38</v>
      </c>
      <c r="F546" s="3">
        <v>50000</v>
      </c>
      <c r="G546">
        <v>2</v>
      </c>
      <c r="H546" t="s">
        <v>13</v>
      </c>
      <c r="I546" t="s">
        <v>14</v>
      </c>
      <c r="J546" t="s">
        <v>15</v>
      </c>
      <c r="K546">
        <v>0</v>
      </c>
      <c r="L546" t="s">
        <v>22</v>
      </c>
      <c r="M546" t="s">
        <v>32</v>
      </c>
      <c r="N546">
        <v>37</v>
      </c>
      <c r="O546" t="str" cm="1">
        <f t="array" ref="O546">_xlfn.IFS(N546&gt;=54,"old",N546&gt;=31,"middle age",N546&gt;=18,"adolsent",N546&lt;18,"invalid")</f>
        <v>middle age</v>
      </c>
      <c r="P546" t="s">
        <v>15</v>
      </c>
    </row>
    <row r="547" spans="3:16" x14ac:dyDescent="0.3">
      <c r="C547">
        <v>20659</v>
      </c>
      <c r="D547" t="s">
        <v>36</v>
      </c>
      <c r="E547" t="s">
        <v>38</v>
      </c>
      <c r="F547" s="3">
        <v>70000</v>
      </c>
      <c r="G547">
        <v>3</v>
      </c>
      <c r="H547" t="s">
        <v>31</v>
      </c>
      <c r="I547" t="s">
        <v>21</v>
      </c>
      <c r="J547" t="s">
        <v>15</v>
      </c>
      <c r="K547">
        <v>0</v>
      </c>
      <c r="L547" t="s">
        <v>16</v>
      </c>
      <c r="M547" t="s">
        <v>32</v>
      </c>
      <c r="N547">
        <v>35</v>
      </c>
      <c r="O547" t="str" cm="1">
        <f t="array" ref="O547">_xlfn.IFS(N547&gt;=54,"old",N547&gt;=31,"middle age",N547&gt;=18,"adolsent",N547&lt;18,"invalid")</f>
        <v>middle age</v>
      </c>
      <c r="P547" t="s">
        <v>15</v>
      </c>
    </row>
    <row r="548" spans="3:16" x14ac:dyDescent="0.3">
      <c r="C548">
        <v>20678</v>
      </c>
      <c r="D548" t="s">
        <v>37</v>
      </c>
      <c r="E548" t="s">
        <v>39</v>
      </c>
      <c r="F548" s="3">
        <v>60000</v>
      </c>
      <c r="G548">
        <v>3</v>
      </c>
      <c r="H548" t="s">
        <v>13</v>
      </c>
      <c r="I548" t="s">
        <v>14</v>
      </c>
      <c r="J548" t="s">
        <v>15</v>
      </c>
      <c r="K548">
        <v>1</v>
      </c>
      <c r="L548" t="s">
        <v>22</v>
      </c>
      <c r="M548" t="s">
        <v>32</v>
      </c>
      <c r="N548">
        <v>40</v>
      </c>
      <c r="O548" t="str" cm="1">
        <f t="array" ref="O548">_xlfn.IFS(N548&gt;=54,"old",N548&gt;=31,"middle age",N548&gt;=18,"adolsent",N548&lt;18,"invalid")</f>
        <v>middle age</v>
      </c>
      <c r="P548" t="s">
        <v>15</v>
      </c>
    </row>
    <row r="549" spans="3:16" x14ac:dyDescent="0.3">
      <c r="C549">
        <v>20698</v>
      </c>
      <c r="D549" t="s">
        <v>36</v>
      </c>
      <c r="E549" t="s">
        <v>38</v>
      </c>
      <c r="F549" s="3">
        <v>60000</v>
      </c>
      <c r="G549">
        <v>4</v>
      </c>
      <c r="H549" t="s">
        <v>13</v>
      </c>
      <c r="I549" t="s">
        <v>14</v>
      </c>
      <c r="J549" t="s">
        <v>15</v>
      </c>
      <c r="K549">
        <v>3</v>
      </c>
      <c r="L549" t="s">
        <v>23</v>
      </c>
      <c r="M549" t="s">
        <v>32</v>
      </c>
      <c r="N549">
        <v>42</v>
      </c>
      <c r="O549" t="str" cm="1">
        <f t="array" ref="O549">_xlfn.IFS(N549&gt;=54,"old",N549&gt;=31,"middle age",N549&gt;=18,"adolsent",N549&lt;18,"invalid")</f>
        <v>middle age</v>
      </c>
      <c r="P549" t="s">
        <v>18</v>
      </c>
    </row>
    <row r="550" spans="3:16" x14ac:dyDescent="0.3">
      <c r="C550">
        <v>20711</v>
      </c>
      <c r="D550" t="s">
        <v>36</v>
      </c>
      <c r="E550" t="s">
        <v>39</v>
      </c>
      <c r="F550" s="3">
        <v>40000</v>
      </c>
      <c r="G550">
        <v>1</v>
      </c>
      <c r="H550" t="s">
        <v>13</v>
      </c>
      <c r="I550" t="s">
        <v>14</v>
      </c>
      <c r="J550" t="s">
        <v>15</v>
      </c>
      <c r="K550">
        <v>0</v>
      </c>
      <c r="L550" t="s">
        <v>26</v>
      </c>
      <c r="M550" t="s">
        <v>17</v>
      </c>
      <c r="N550">
        <v>32</v>
      </c>
      <c r="O550" t="str" cm="1">
        <f t="array" ref="O550">_xlfn.IFS(N550&gt;=54,"old",N550&gt;=31,"middle age",N550&gt;=18,"adolsent",N550&lt;18,"invalid")</f>
        <v>middle age</v>
      </c>
      <c r="P550" t="s">
        <v>15</v>
      </c>
    </row>
    <row r="551" spans="3:16" x14ac:dyDescent="0.3">
      <c r="C551">
        <v>20729</v>
      </c>
      <c r="D551" t="s">
        <v>36</v>
      </c>
      <c r="E551" t="s">
        <v>39</v>
      </c>
      <c r="F551" s="3">
        <v>40000</v>
      </c>
      <c r="G551">
        <v>2</v>
      </c>
      <c r="H551" t="s">
        <v>19</v>
      </c>
      <c r="I551" t="s">
        <v>20</v>
      </c>
      <c r="J551" t="s">
        <v>18</v>
      </c>
      <c r="K551">
        <v>1</v>
      </c>
      <c r="L551" t="s">
        <v>16</v>
      </c>
      <c r="M551" t="s">
        <v>17</v>
      </c>
      <c r="N551">
        <v>34</v>
      </c>
      <c r="O551" t="str" cm="1">
        <f t="array" ref="O551">_xlfn.IFS(N551&gt;=54,"old",N551&gt;=31,"middle age",N551&gt;=18,"adolsent",N551&lt;18,"invalid")</f>
        <v>middle age</v>
      </c>
      <c r="P551" t="s">
        <v>18</v>
      </c>
    </row>
    <row r="552" spans="3:16" x14ac:dyDescent="0.3">
      <c r="C552">
        <v>20754</v>
      </c>
      <c r="D552" t="s">
        <v>36</v>
      </c>
      <c r="E552" t="s">
        <v>38</v>
      </c>
      <c r="F552" s="3">
        <v>30000</v>
      </c>
      <c r="G552">
        <v>2</v>
      </c>
      <c r="H552" t="s">
        <v>27</v>
      </c>
      <c r="I552" t="s">
        <v>14</v>
      </c>
      <c r="J552" t="s">
        <v>15</v>
      </c>
      <c r="K552">
        <v>2</v>
      </c>
      <c r="L552" t="s">
        <v>26</v>
      </c>
      <c r="M552" t="s">
        <v>32</v>
      </c>
      <c r="N552">
        <v>51</v>
      </c>
      <c r="O552" t="str" cm="1">
        <f t="array" ref="O552">_xlfn.IFS(N552&gt;=54,"old",N552&gt;=31,"middle age",N552&gt;=18,"adolsent",N552&lt;18,"invalid")</f>
        <v>middle age</v>
      </c>
      <c r="P552" t="s">
        <v>18</v>
      </c>
    </row>
    <row r="553" spans="3:16" x14ac:dyDescent="0.3">
      <c r="C553">
        <v>20758</v>
      </c>
      <c r="D553" t="s">
        <v>36</v>
      </c>
      <c r="E553" t="s">
        <v>38</v>
      </c>
      <c r="F553" s="3">
        <v>30000</v>
      </c>
      <c r="G553">
        <v>2</v>
      </c>
      <c r="H553" t="s">
        <v>27</v>
      </c>
      <c r="I553" t="s">
        <v>14</v>
      </c>
      <c r="J553" t="s">
        <v>15</v>
      </c>
      <c r="K553">
        <v>2</v>
      </c>
      <c r="L553" t="s">
        <v>26</v>
      </c>
      <c r="M553" t="s">
        <v>32</v>
      </c>
      <c r="N553">
        <v>50</v>
      </c>
      <c r="O553" t="str" cm="1">
        <f t="array" ref="O553">_xlfn.IFS(N553&gt;=54,"old",N553&gt;=31,"middle age",N553&gt;=18,"adolsent",N553&lt;18,"invalid")</f>
        <v>middle age</v>
      </c>
      <c r="P553" t="s">
        <v>18</v>
      </c>
    </row>
    <row r="554" spans="3:16" x14ac:dyDescent="0.3">
      <c r="C554">
        <v>20797</v>
      </c>
      <c r="D554" t="s">
        <v>36</v>
      </c>
      <c r="E554" t="s">
        <v>39</v>
      </c>
      <c r="F554" s="3">
        <v>10000</v>
      </c>
      <c r="G554">
        <v>1</v>
      </c>
      <c r="H554" t="s">
        <v>13</v>
      </c>
      <c r="I554" t="s">
        <v>25</v>
      </c>
      <c r="J554" t="s">
        <v>15</v>
      </c>
      <c r="K554">
        <v>0</v>
      </c>
      <c r="L554" t="s">
        <v>16</v>
      </c>
      <c r="M554" t="s">
        <v>17</v>
      </c>
      <c r="N554">
        <v>48</v>
      </c>
      <c r="O554" t="str" cm="1">
        <f t="array" ref="O554">_xlfn.IFS(N554&gt;=54,"old",N554&gt;=31,"middle age",N554&gt;=18,"adolsent",N554&lt;18,"invalid")</f>
        <v>middle age</v>
      </c>
      <c r="P554" t="s">
        <v>18</v>
      </c>
    </row>
    <row r="555" spans="3:16" x14ac:dyDescent="0.3">
      <c r="C555">
        <v>20828</v>
      </c>
      <c r="D555" t="s">
        <v>36</v>
      </c>
      <c r="E555" t="s">
        <v>39</v>
      </c>
      <c r="F555" s="3">
        <v>30000</v>
      </c>
      <c r="G555">
        <v>4</v>
      </c>
      <c r="H555" t="s">
        <v>31</v>
      </c>
      <c r="I555" t="s">
        <v>20</v>
      </c>
      <c r="J555" t="s">
        <v>15</v>
      </c>
      <c r="K555">
        <v>0</v>
      </c>
      <c r="L555" t="s">
        <v>16</v>
      </c>
      <c r="M555" t="s">
        <v>17</v>
      </c>
      <c r="N555">
        <v>45</v>
      </c>
      <c r="O555" t="str" cm="1">
        <f t="array" ref="O555">_xlfn.IFS(N555&gt;=54,"old",N555&gt;=31,"middle age",N555&gt;=18,"adolsent",N555&lt;18,"invalid")</f>
        <v>middle age</v>
      </c>
      <c r="P555" t="s">
        <v>15</v>
      </c>
    </row>
    <row r="556" spans="3:16" x14ac:dyDescent="0.3">
      <c r="C556">
        <v>20839</v>
      </c>
      <c r="D556" t="s">
        <v>37</v>
      </c>
      <c r="E556" t="s">
        <v>39</v>
      </c>
      <c r="F556" s="3">
        <v>30000</v>
      </c>
      <c r="G556">
        <v>3</v>
      </c>
      <c r="H556" t="s">
        <v>31</v>
      </c>
      <c r="I556" t="s">
        <v>20</v>
      </c>
      <c r="J556" t="s">
        <v>15</v>
      </c>
      <c r="K556">
        <v>0</v>
      </c>
      <c r="L556" t="s">
        <v>16</v>
      </c>
      <c r="M556" t="s">
        <v>17</v>
      </c>
      <c r="N556">
        <v>47</v>
      </c>
      <c r="O556" t="str" cm="1">
        <f t="array" ref="O556">_xlfn.IFS(N556&gt;=54,"old",N556&gt;=31,"middle age",N556&gt;=18,"adolsent",N556&lt;18,"invalid")</f>
        <v>middle age</v>
      </c>
      <c r="P556" t="s">
        <v>15</v>
      </c>
    </row>
    <row r="557" spans="3:16" x14ac:dyDescent="0.3">
      <c r="C557">
        <v>20851</v>
      </c>
      <c r="D557" t="s">
        <v>37</v>
      </c>
      <c r="E557" t="s">
        <v>38</v>
      </c>
      <c r="F557" s="3">
        <v>20000</v>
      </c>
      <c r="G557">
        <v>0</v>
      </c>
      <c r="H557" t="s">
        <v>19</v>
      </c>
      <c r="I557" t="s">
        <v>25</v>
      </c>
      <c r="J557" t="s">
        <v>18</v>
      </c>
      <c r="K557">
        <v>1</v>
      </c>
      <c r="L557" t="s">
        <v>22</v>
      </c>
      <c r="M557" t="s">
        <v>17</v>
      </c>
      <c r="N557">
        <v>36</v>
      </c>
      <c r="O557" t="str" cm="1">
        <f t="array" ref="O557">_xlfn.IFS(N557&gt;=54,"old",N557&gt;=31,"middle age",N557&gt;=18,"adolsent",N557&lt;18,"invalid")</f>
        <v>middle age</v>
      </c>
      <c r="P557" t="s">
        <v>15</v>
      </c>
    </row>
    <row r="558" spans="3:16" x14ac:dyDescent="0.3">
      <c r="C558">
        <v>20870</v>
      </c>
      <c r="D558" t="s">
        <v>37</v>
      </c>
      <c r="E558" t="s">
        <v>39</v>
      </c>
      <c r="F558" s="3">
        <v>10000</v>
      </c>
      <c r="G558">
        <v>2</v>
      </c>
      <c r="H558" t="s">
        <v>27</v>
      </c>
      <c r="I558" t="s">
        <v>25</v>
      </c>
      <c r="J558" t="s">
        <v>15</v>
      </c>
      <c r="K558">
        <v>1</v>
      </c>
      <c r="L558" t="s">
        <v>16</v>
      </c>
      <c r="M558" t="s">
        <v>17</v>
      </c>
      <c r="N558">
        <v>38</v>
      </c>
      <c r="O558" t="str" cm="1">
        <f t="array" ref="O558">_xlfn.IFS(N558&gt;=54,"old",N558&gt;=31,"middle age",N558&gt;=18,"adolsent",N558&lt;18,"invalid")</f>
        <v>middle age</v>
      </c>
      <c r="P558" t="s">
        <v>15</v>
      </c>
    </row>
    <row r="559" spans="3:16" x14ac:dyDescent="0.3">
      <c r="C559">
        <v>20877</v>
      </c>
      <c r="D559" t="s">
        <v>37</v>
      </c>
      <c r="E559" t="s">
        <v>38</v>
      </c>
      <c r="F559" s="3">
        <v>30000</v>
      </c>
      <c r="G559">
        <v>1</v>
      </c>
      <c r="H559" t="s">
        <v>13</v>
      </c>
      <c r="I559" t="s">
        <v>20</v>
      </c>
      <c r="J559" t="s">
        <v>15</v>
      </c>
      <c r="K559">
        <v>0</v>
      </c>
      <c r="L559" t="s">
        <v>26</v>
      </c>
      <c r="M559" t="s">
        <v>17</v>
      </c>
      <c r="N559">
        <v>37</v>
      </c>
      <c r="O559" t="str" cm="1">
        <f t="array" ref="O559">_xlfn.IFS(N559&gt;=54,"old",N559&gt;=31,"middle age",N559&gt;=18,"adolsent",N559&lt;18,"invalid")</f>
        <v>middle age</v>
      </c>
      <c r="P559" t="s">
        <v>15</v>
      </c>
    </row>
    <row r="560" spans="3:16" x14ac:dyDescent="0.3">
      <c r="C560">
        <v>20897</v>
      </c>
      <c r="D560" t="s">
        <v>36</v>
      </c>
      <c r="E560" t="s">
        <v>39</v>
      </c>
      <c r="F560" s="3">
        <v>30000</v>
      </c>
      <c r="G560">
        <v>1</v>
      </c>
      <c r="H560" t="s">
        <v>13</v>
      </c>
      <c r="I560" t="s">
        <v>14</v>
      </c>
      <c r="J560" t="s">
        <v>15</v>
      </c>
      <c r="K560">
        <v>2</v>
      </c>
      <c r="L560" t="s">
        <v>16</v>
      </c>
      <c r="M560" t="s">
        <v>17</v>
      </c>
      <c r="N560">
        <v>40</v>
      </c>
      <c r="O560" t="str" cm="1">
        <f t="array" ref="O560">_xlfn.IFS(N560&gt;=54,"old",N560&gt;=31,"middle age",N560&gt;=18,"adolsent",N560&lt;18,"invalid")</f>
        <v>middle age</v>
      </c>
      <c r="P560" t="s">
        <v>18</v>
      </c>
    </row>
    <row r="561" spans="3:16" x14ac:dyDescent="0.3">
      <c r="C561">
        <v>20919</v>
      </c>
      <c r="D561" t="s">
        <v>37</v>
      </c>
      <c r="E561" t="s">
        <v>39</v>
      </c>
      <c r="F561" s="3">
        <v>30000</v>
      </c>
      <c r="G561">
        <v>2</v>
      </c>
      <c r="H561" t="s">
        <v>19</v>
      </c>
      <c r="I561" t="s">
        <v>20</v>
      </c>
      <c r="J561" t="s">
        <v>15</v>
      </c>
      <c r="K561">
        <v>2</v>
      </c>
      <c r="L561" t="s">
        <v>16</v>
      </c>
      <c r="M561" t="s">
        <v>17</v>
      </c>
      <c r="N561">
        <v>42</v>
      </c>
      <c r="O561" t="str" cm="1">
        <f t="array" ref="O561">_xlfn.IFS(N561&gt;=54,"old",N561&gt;=31,"middle age",N561&gt;=18,"adolsent",N561&lt;18,"invalid")</f>
        <v>middle age</v>
      </c>
      <c r="P561" t="s">
        <v>18</v>
      </c>
    </row>
    <row r="562" spans="3:16" x14ac:dyDescent="0.3">
      <c r="C562">
        <v>20923</v>
      </c>
      <c r="D562" t="s">
        <v>36</v>
      </c>
      <c r="E562" t="s">
        <v>39</v>
      </c>
      <c r="F562" s="3">
        <v>40000</v>
      </c>
      <c r="G562">
        <v>1</v>
      </c>
      <c r="H562" t="s">
        <v>13</v>
      </c>
      <c r="I562" t="s">
        <v>14</v>
      </c>
      <c r="J562" t="s">
        <v>15</v>
      </c>
      <c r="K562">
        <v>0</v>
      </c>
      <c r="L562" t="s">
        <v>16</v>
      </c>
      <c r="M562" t="s">
        <v>17</v>
      </c>
      <c r="N562">
        <v>42</v>
      </c>
      <c r="O562" t="str" cm="1">
        <f t="array" ref="O562">_xlfn.IFS(N562&gt;=54,"old",N562&gt;=31,"middle age",N562&gt;=18,"adolsent",N562&lt;18,"invalid")</f>
        <v>middle age</v>
      </c>
      <c r="P562" t="s">
        <v>15</v>
      </c>
    </row>
    <row r="563" spans="3:16" x14ac:dyDescent="0.3">
      <c r="C563">
        <v>20927</v>
      </c>
      <c r="D563" t="s">
        <v>37</v>
      </c>
      <c r="E563" t="s">
        <v>39</v>
      </c>
      <c r="F563" s="3">
        <v>20000</v>
      </c>
      <c r="G563">
        <v>5</v>
      </c>
      <c r="H563" t="s">
        <v>27</v>
      </c>
      <c r="I563" t="s">
        <v>25</v>
      </c>
      <c r="J563" t="s">
        <v>15</v>
      </c>
      <c r="K563">
        <v>2</v>
      </c>
      <c r="L563" t="s">
        <v>16</v>
      </c>
      <c r="M563" t="s">
        <v>17</v>
      </c>
      <c r="N563">
        <v>27</v>
      </c>
      <c r="O563" t="str" cm="1">
        <f t="array" ref="O563">_xlfn.IFS(N563&gt;=54,"old",N563&gt;=31,"middle age",N563&gt;=18,"adolsent",N563&lt;18,"invalid")</f>
        <v>adolsent</v>
      </c>
      <c r="P563" t="s">
        <v>18</v>
      </c>
    </row>
    <row r="564" spans="3:16" x14ac:dyDescent="0.3">
      <c r="C564">
        <v>20942</v>
      </c>
      <c r="D564" t="s">
        <v>37</v>
      </c>
      <c r="E564" t="s">
        <v>39</v>
      </c>
      <c r="F564" s="3">
        <v>20000</v>
      </c>
      <c r="G564">
        <v>0</v>
      </c>
      <c r="H564" t="s">
        <v>27</v>
      </c>
      <c r="I564" t="s">
        <v>25</v>
      </c>
      <c r="J564" t="s">
        <v>18</v>
      </c>
      <c r="K564">
        <v>1</v>
      </c>
      <c r="L564" t="s">
        <v>23</v>
      </c>
      <c r="M564" t="s">
        <v>17</v>
      </c>
      <c r="N564">
        <v>31</v>
      </c>
      <c r="O564" t="str" cm="1">
        <f t="array" ref="O564">_xlfn.IFS(N564&gt;=54,"old",N564&gt;=31,"middle age",N564&gt;=18,"adolsent",N564&lt;18,"invalid")</f>
        <v>middle age</v>
      </c>
      <c r="P564" t="s">
        <v>18</v>
      </c>
    </row>
    <row r="565" spans="3:16" x14ac:dyDescent="0.3">
      <c r="C565">
        <v>20946</v>
      </c>
      <c r="D565" t="s">
        <v>37</v>
      </c>
      <c r="E565" t="s">
        <v>39</v>
      </c>
      <c r="F565" s="3">
        <v>30000</v>
      </c>
      <c r="G565">
        <v>0</v>
      </c>
      <c r="H565" t="s">
        <v>19</v>
      </c>
      <c r="I565" t="s">
        <v>20</v>
      </c>
      <c r="J565" t="s">
        <v>18</v>
      </c>
      <c r="K565">
        <v>1</v>
      </c>
      <c r="L565" t="s">
        <v>22</v>
      </c>
      <c r="M565" t="s">
        <v>17</v>
      </c>
      <c r="N565">
        <v>30</v>
      </c>
      <c r="O565" t="str" cm="1">
        <f t="array" ref="O565">_xlfn.IFS(N565&gt;=54,"old",N565&gt;=31,"middle age",N565&gt;=18,"adolsent",N565&lt;18,"invalid")</f>
        <v>adolsent</v>
      </c>
      <c r="P565" t="s">
        <v>18</v>
      </c>
    </row>
    <row r="566" spans="3:16" x14ac:dyDescent="0.3">
      <c r="C566">
        <v>20962</v>
      </c>
      <c r="D566" t="s">
        <v>36</v>
      </c>
      <c r="E566" t="s">
        <v>39</v>
      </c>
      <c r="F566" s="3">
        <v>20000</v>
      </c>
      <c r="G566">
        <v>1</v>
      </c>
      <c r="H566" t="s">
        <v>31</v>
      </c>
      <c r="I566" t="s">
        <v>20</v>
      </c>
      <c r="J566" t="s">
        <v>15</v>
      </c>
      <c r="K566">
        <v>0</v>
      </c>
      <c r="L566" t="s">
        <v>16</v>
      </c>
      <c r="M566" t="s">
        <v>17</v>
      </c>
      <c r="N566">
        <v>45</v>
      </c>
      <c r="O566" t="str" cm="1">
        <f t="array" ref="O566">_xlfn.IFS(N566&gt;=54,"old",N566&gt;=31,"middle age",N566&gt;=18,"adolsent",N566&lt;18,"invalid")</f>
        <v>middle age</v>
      </c>
      <c r="P566" t="s">
        <v>18</v>
      </c>
    </row>
    <row r="567" spans="3:16" x14ac:dyDescent="0.3">
      <c r="C567">
        <v>20970</v>
      </c>
      <c r="D567" t="s">
        <v>37</v>
      </c>
      <c r="E567" t="s">
        <v>38</v>
      </c>
      <c r="F567" s="3">
        <v>10000</v>
      </c>
      <c r="G567">
        <v>2</v>
      </c>
      <c r="H567" t="s">
        <v>19</v>
      </c>
      <c r="I567" t="s">
        <v>25</v>
      </c>
      <c r="J567" t="s">
        <v>15</v>
      </c>
      <c r="K567">
        <v>1</v>
      </c>
      <c r="L567" t="s">
        <v>16</v>
      </c>
      <c r="M567" t="s">
        <v>17</v>
      </c>
      <c r="N567">
        <v>52</v>
      </c>
      <c r="O567" t="str" cm="1">
        <f t="array" ref="O567">_xlfn.IFS(N567&gt;=54,"old",N567&gt;=31,"middle age",N567&gt;=18,"adolsent",N567&lt;18,"invalid")</f>
        <v>middle age</v>
      </c>
      <c r="P567" t="s">
        <v>15</v>
      </c>
    </row>
    <row r="568" spans="3:16" x14ac:dyDescent="0.3">
      <c r="C568">
        <v>20974</v>
      </c>
      <c r="D568" t="s">
        <v>36</v>
      </c>
      <c r="E568" t="s">
        <v>38</v>
      </c>
      <c r="F568" s="3">
        <v>10000</v>
      </c>
      <c r="G568">
        <v>2</v>
      </c>
      <c r="H568" t="s">
        <v>13</v>
      </c>
      <c r="I568" t="s">
        <v>20</v>
      </c>
      <c r="J568" t="s">
        <v>15</v>
      </c>
      <c r="K568">
        <v>1</v>
      </c>
      <c r="L568" t="s">
        <v>16</v>
      </c>
      <c r="M568" t="s">
        <v>17</v>
      </c>
      <c r="N568">
        <v>66</v>
      </c>
      <c r="O568" t="str" cm="1">
        <f t="array" ref="O568">_xlfn.IFS(N568&gt;=54,"old",N568&gt;=31,"middle age",N568&gt;=18,"adolsent",N568&lt;18,"invalid")</f>
        <v>old</v>
      </c>
      <c r="P568" t="s">
        <v>18</v>
      </c>
    </row>
    <row r="569" spans="3:16" x14ac:dyDescent="0.3">
      <c r="C569">
        <v>20977</v>
      </c>
      <c r="D569" t="s">
        <v>36</v>
      </c>
      <c r="E569" t="s">
        <v>38</v>
      </c>
      <c r="F569" s="3">
        <v>20000</v>
      </c>
      <c r="G569">
        <v>1</v>
      </c>
      <c r="H569" t="s">
        <v>13</v>
      </c>
      <c r="I569" t="s">
        <v>20</v>
      </c>
      <c r="J569" t="s">
        <v>15</v>
      </c>
      <c r="K569">
        <v>0</v>
      </c>
      <c r="L569" t="s">
        <v>16</v>
      </c>
      <c r="M569" t="s">
        <v>17</v>
      </c>
      <c r="N569">
        <v>64</v>
      </c>
      <c r="O569" t="str" cm="1">
        <f t="array" ref="O569">_xlfn.IFS(N569&gt;=54,"old",N569&gt;=31,"middle age",N569&gt;=18,"adolsent",N569&lt;18,"invalid")</f>
        <v>old</v>
      </c>
      <c r="P569" t="s">
        <v>15</v>
      </c>
    </row>
    <row r="570" spans="3:16" x14ac:dyDescent="0.3">
      <c r="C570">
        <v>20994</v>
      </c>
      <c r="D570" t="s">
        <v>36</v>
      </c>
      <c r="E570" t="s">
        <v>39</v>
      </c>
      <c r="F570" s="3">
        <v>20000</v>
      </c>
      <c r="G570">
        <v>0</v>
      </c>
      <c r="H570" t="s">
        <v>13</v>
      </c>
      <c r="I570" t="s">
        <v>20</v>
      </c>
      <c r="J570" t="s">
        <v>18</v>
      </c>
      <c r="K570">
        <v>0</v>
      </c>
      <c r="L570" t="s">
        <v>16</v>
      </c>
      <c r="M570" t="s">
        <v>24</v>
      </c>
      <c r="N570">
        <v>26</v>
      </c>
      <c r="O570" t="str" cm="1">
        <f t="array" ref="O570">_xlfn.IFS(N570&gt;=54,"old",N570&gt;=31,"middle age",N570&gt;=18,"adolsent",N570&lt;18,"invalid")</f>
        <v>adolsent</v>
      </c>
      <c r="P570" t="s">
        <v>15</v>
      </c>
    </row>
    <row r="571" spans="3:16" x14ac:dyDescent="0.3">
      <c r="C571">
        <v>21006</v>
      </c>
      <c r="D571" t="s">
        <v>37</v>
      </c>
      <c r="E571" t="s">
        <v>39</v>
      </c>
      <c r="F571" s="3">
        <v>30000</v>
      </c>
      <c r="G571">
        <v>1</v>
      </c>
      <c r="H571" t="s">
        <v>19</v>
      </c>
      <c r="I571" t="s">
        <v>25</v>
      </c>
      <c r="J571" t="s">
        <v>18</v>
      </c>
      <c r="K571">
        <v>0</v>
      </c>
      <c r="L571" t="s">
        <v>16</v>
      </c>
      <c r="M571" t="s">
        <v>17</v>
      </c>
      <c r="N571">
        <v>46</v>
      </c>
      <c r="O571" t="str" cm="1">
        <f t="array" ref="O571">_xlfn.IFS(N571&gt;=54,"old",N571&gt;=31,"middle age",N571&gt;=18,"adolsent",N571&lt;18,"invalid")</f>
        <v>middle age</v>
      </c>
      <c r="P571" t="s">
        <v>15</v>
      </c>
    </row>
    <row r="572" spans="3:16" x14ac:dyDescent="0.3">
      <c r="C572">
        <v>21039</v>
      </c>
      <c r="D572" t="s">
        <v>37</v>
      </c>
      <c r="E572" t="s">
        <v>39</v>
      </c>
      <c r="F572" s="3">
        <v>50000</v>
      </c>
      <c r="G572">
        <v>0</v>
      </c>
      <c r="H572" t="s">
        <v>31</v>
      </c>
      <c r="I572" t="s">
        <v>14</v>
      </c>
      <c r="J572" t="s">
        <v>18</v>
      </c>
      <c r="K572">
        <v>0</v>
      </c>
      <c r="L572" t="s">
        <v>16</v>
      </c>
      <c r="M572" t="s">
        <v>17</v>
      </c>
      <c r="N572">
        <v>37</v>
      </c>
      <c r="O572" t="str" cm="1">
        <f t="array" ref="O572">_xlfn.IFS(N572&gt;=54,"old",N572&gt;=31,"middle age",N572&gt;=18,"adolsent",N572&lt;18,"invalid")</f>
        <v>middle age</v>
      </c>
      <c r="P572" t="s">
        <v>15</v>
      </c>
    </row>
    <row r="573" spans="3:16" x14ac:dyDescent="0.3">
      <c r="C573">
        <v>21094</v>
      </c>
      <c r="D573" t="s">
        <v>37</v>
      </c>
      <c r="E573" t="s">
        <v>39</v>
      </c>
      <c r="F573" s="3">
        <v>30000</v>
      </c>
      <c r="G573">
        <v>2</v>
      </c>
      <c r="H573" t="s">
        <v>19</v>
      </c>
      <c r="I573" t="s">
        <v>20</v>
      </c>
      <c r="J573" t="s">
        <v>15</v>
      </c>
      <c r="K573">
        <v>2</v>
      </c>
      <c r="L573" t="s">
        <v>16</v>
      </c>
      <c r="M573" t="s">
        <v>17</v>
      </c>
      <c r="N573">
        <v>42</v>
      </c>
      <c r="O573" t="str" cm="1">
        <f t="array" ref="O573">_xlfn.IFS(N573&gt;=54,"old",N573&gt;=31,"middle age",N573&gt;=18,"adolsent",N573&lt;18,"invalid")</f>
        <v>middle age</v>
      </c>
      <c r="P573" t="s">
        <v>18</v>
      </c>
    </row>
    <row r="574" spans="3:16" x14ac:dyDescent="0.3">
      <c r="C574">
        <v>21108</v>
      </c>
      <c r="D574" t="s">
        <v>36</v>
      </c>
      <c r="E574" t="s">
        <v>39</v>
      </c>
      <c r="F574" s="3">
        <v>40000</v>
      </c>
      <c r="G574">
        <v>1</v>
      </c>
      <c r="H574" t="s">
        <v>13</v>
      </c>
      <c r="I574" t="s">
        <v>14</v>
      </c>
      <c r="J574" t="s">
        <v>15</v>
      </c>
      <c r="K574">
        <v>1</v>
      </c>
      <c r="L574" t="s">
        <v>16</v>
      </c>
      <c r="M574" t="s">
        <v>17</v>
      </c>
      <c r="N574">
        <v>43</v>
      </c>
      <c r="O574" t="str" cm="1">
        <f t="array" ref="O574">_xlfn.IFS(N574&gt;=54,"old",N574&gt;=31,"middle age",N574&gt;=18,"adolsent",N574&lt;18,"invalid")</f>
        <v>middle age</v>
      </c>
      <c r="P574" t="s">
        <v>15</v>
      </c>
    </row>
    <row r="575" spans="3:16" x14ac:dyDescent="0.3">
      <c r="C575">
        <v>21184</v>
      </c>
      <c r="D575" t="s">
        <v>37</v>
      </c>
      <c r="E575" t="s">
        <v>38</v>
      </c>
      <c r="F575" s="3">
        <v>70000</v>
      </c>
      <c r="G575">
        <v>0</v>
      </c>
      <c r="H575" t="s">
        <v>13</v>
      </c>
      <c r="I575" t="s">
        <v>21</v>
      </c>
      <c r="J575" t="s">
        <v>18</v>
      </c>
      <c r="K575">
        <v>1</v>
      </c>
      <c r="L575" t="s">
        <v>23</v>
      </c>
      <c r="M575" t="s">
        <v>24</v>
      </c>
      <c r="N575">
        <v>38</v>
      </c>
      <c r="O575" t="str" cm="1">
        <f t="array" ref="O575">_xlfn.IFS(N575&gt;=54,"old",N575&gt;=31,"middle age",N575&gt;=18,"adolsent",N575&lt;18,"invalid")</f>
        <v>middle age</v>
      </c>
      <c r="P575" t="s">
        <v>18</v>
      </c>
    </row>
    <row r="576" spans="3:16" x14ac:dyDescent="0.3">
      <c r="C576">
        <v>21207</v>
      </c>
      <c r="D576" t="s">
        <v>36</v>
      </c>
      <c r="E576" t="s">
        <v>38</v>
      </c>
      <c r="F576" s="3">
        <v>60000</v>
      </c>
      <c r="G576">
        <v>1</v>
      </c>
      <c r="H576" t="s">
        <v>19</v>
      </c>
      <c r="I576" t="s">
        <v>14</v>
      </c>
      <c r="J576" t="s">
        <v>15</v>
      </c>
      <c r="K576">
        <v>1</v>
      </c>
      <c r="L576" t="s">
        <v>23</v>
      </c>
      <c r="M576" t="s">
        <v>24</v>
      </c>
      <c r="N576">
        <v>46</v>
      </c>
      <c r="O576" t="str" cm="1">
        <f t="array" ref="O576">_xlfn.IFS(N576&gt;=54,"old",N576&gt;=31,"middle age",N576&gt;=18,"adolsent",N576&lt;18,"invalid")</f>
        <v>middle age</v>
      </c>
      <c r="P576" t="s">
        <v>18</v>
      </c>
    </row>
    <row r="577" spans="3:16" x14ac:dyDescent="0.3">
      <c r="C577">
        <v>21213</v>
      </c>
      <c r="D577" t="s">
        <v>37</v>
      </c>
      <c r="E577" t="s">
        <v>38</v>
      </c>
      <c r="F577" s="3">
        <v>70000</v>
      </c>
      <c r="G577">
        <v>0</v>
      </c>
      <c r="H577" t="s">
        <v>13</v>
      </c>
      <c r="I577" t="s">
        <v>21</v>
      </c>
      <c r="J577" t="s">
        <v>18</v>
      </c>
      <c r="K577">
        <v>1</v>
      </c>
      <c r="L577" t="s">
        <v>23</v>
      </c>
      <c r="M577" t="s">
        <v>24</v>
      </c>
      <c r="N577">
        <v>41</v>
      </c>
      <c r="O577" t="str" cm="1">
        <f t="array" ref="O577">_xlfn.IFS(N577&gt;=54,"old",N577&gt;=31,"middle age",N577&gt;=18,"adolsent",N577&lt;18,"invalid")</f>
        <v>middle age</v>
      </c>
      <c r="P577" t="s">
        <v>18</v>
      </c>
    </row>
    <row r="578" spans="3:16" x14ac:dyDescent="0.3">
      <c r="C578">
        <v>21260</v>
      </c>
      <c r="D578" t="s">
        <v>37</v>
      </c>
      <c r="E578" t="s">
        <v>39</v>
      </c>
      <c r="F578" s="3">
        <v>40000</v>
      </c>
      <c r="G578">
        <v>0</v>
      </c>
      <c r="H578" t="s">
        <v>27</v>
      </c>
      <c r="I578" t="s">
        <v>14</v>
      </c>
      <c r="J578" t="s">
        <v>15</v>
      </c>
      <c r="K578">
        <v>2</v>
      </c>
      <c r="L578" t="s">
        <v>23</v>
      </c>
      <c r="M578" t="s">
        <v>32</v>
      </c>
      <c r="N578">
        <v>30</v>
      </c>
      <c r="O578" t="str" cm="1">
        <f t="array" ref="O578">_xlfn.IFS(N578&gt;=54,"old",N578&gt;=31,"middle age",N578&gt;=18,"adolsent",N578&lt;18,"invalid")</f>
        <v>adolsent</v>
      </c>
      <c r="P578" t="s">
        <v>18</v>
      </c>
    </row>
    <row r="579" spans="3:16" x14ac:dyDescent="0.3">
      <c r="C579">
        <v>21266</v>
      </c>
      <c r="D579" t="s">
        <v>37</v>
      </c>
      <c r="E579" t="s">
        <v>39</v>
      </c>
      <c r="F579" s="3">
        <v>80000</v>
      </c>
      <c r="G579">
        <v>0</v>
      </c>
      <c r="H579" t="s">
        <v>13</v>
      </c>
      <c r="I579" t="s">
        <v>28</v>
      </c>
      <c r="J579" t="s">
        <v>15</v>
      </c>
      <c r="K579">
        <v>1</v>
      </c>
      <c r="L579" t="s">
        <v>26</v>
      </c>
      <c r="M579" t="s">
        <v>32</v>
      </c>
      <c r="N579">
        <v>34</v>
      </c>
      <c r="O579" t="str" cm="1">
        <f t="array" ref="O579">_xlfn.IFS(N579&gt;=54,"old",N579&gt;=31,"middle age",N579&gt;=18,"adolsent",N579&lt;18,"invalid")</f>
        <v>middle age</v>
      </c>
      <c r="P579" t="s">
        <v>15</v>
      </c>
    </row>
    <row r="580" spans="3:16" x14ac:dyDescent="0.3">
      <c r="C580">
        <v>21306</v>
      </c>
      <c r="D580" t="s">
        <v>37</v>
      </c>
      <c r="E580" t="s">
        <v>38</v>
      </c>
      <c r="F580" s="3">
        <v>60000</v>
      </c>
      <c r="G580">
        <v>2</v>
      </c>
      <c r="H580" t="s">
        <v>27</v>
      </c>
      <c r="I580" t="s">
        <v>21</v>
      </c>
      <c r="J580" t="s">
        <v>15</v>
      </c>
      <c r="K580">
        <v>2</v>
      </c>
      <c r="L580" t="s">
        <v>23</v>
      </c>
      <c r="M580" t="s">
        <v>32</v>
      </c>
      <c r="N580">
        <v>51</v>
      </c>
      <c r="O580" t="str" cm="1">
        <f t="array" ref="O580">_xlfn.IFS(N580&gt;=54,"old",N580&gt;=31,"middle age",N580&gt;=18,"adolsent",N580&lt;18,"invalid")</f>
        <v>middle age</v>
      </c>
      <c r="P580" t="s">
        <v>18</v>
      </c>
    </row>
    <row r="581" spans="3:16" x14ac:dyDescent="0.3">
      <c r="C581">
        <v>21365</v>
      </c>
      <c r="D581" t="s">
        <v>36</v>
      </c>
      <c r="E581" t="s">
        <v>39</v>
      </c>
      <c r="F581" s="3">
        <v>10000</v>
      </c>
      <c r="G581">
        <v>2</v>
      </c>
      <c r="H581" t="s">
        <v>29</v>
      </c>
      <c r="I581" t="s">
        <v>20</v>
      </c>
      <c r="J581" t="s">
        <v>15</v>
      </c>
      <c r="K581">
        <v>2</v>
      </c>
      <c r="L581" t="s">
        <v>23</v>
      </c>
      <c r="M581" t="s">
        <v>24</v>
      </c>
      <c r="N581">
        <v>58</v>
      </c>
      <c r="O581" t="str" cm="1">
        <f t="array" ref="O581">_xlfn.IFS(N581&gt;=54,"old",N581&gt;=31,"middle age",N581&gt;=18,"adolsent",N581&lt;18,"invalid")</f>
        <v>old</v>
      </c>
      <c r="P581" t="s">
        <v>18</v>
      </c>
    </row>
    <row r="582" spans="3:16" x14ac:dyDescent="0.3">
      <c r="C582">
        <v>21375</v>
      </c>
      <c r="D582" t="s">
        <v>37</v>
      </c>
      <c r="E582" t="s">
        <v>38</v>
      </c>
      <c r="F582" s="3">
        <v>20000</v>
      </c>
      <c r="G582">
        <v>2</v>
      </c>
      <c r="H582" t="s">
        <v>29</v>
      </c>
      <c r="I582" t="s">
        <v>20</v>
      </c>
      <c r="J582" t="s">
        <v>15</v>
      </c>
      <c r="K582">
        <v>2</v>
      </c>
      <c r="L582" t="s">
        <v>23</v>
      </c>
      <c r="M582" t="s">
        <v>24</v>
      </c>
      <c r="N582">
        <v>57</v>
      </c>
      <c r="O582" t="str" cm="1">
        <f t="array" ref="O582">_xlfn.IFS(N582&gt;=54,"old",N582&gt;=31,"middle age",N582&gt;=18,"adolsent",N582&lt;18,"invalid")</f>
        <v>old</v>
      </c>
      <c r="P582" t="s">
        <v>18</v>
      </c>
    </row>
    <row r="583" spans="3:16" x14ac:dyDescent="0.3">
      <c r="C583">
        <v>21417</v>
      </c>
      <c r="D583" t="s">
        <v>37</v>
      </c>
      <c r="E583" t="s">
        <v>39</v>
      </c>
      <c r="F583" s="3">
        <v>60000</v>
      </c>
      <c r="G583">
        <v>0</v>
      </c>
      <c r="H583" t="s">
        <v>19</v>
      </c>
      <c r="I583" t="s">
        <v>21</v>
      </c>
      <c r="J583" t="s">
        <v>18</v>
      </c>
      <c r="K583">
        <v>2</v>
      </c>
      <c r="L583" t="s">
        <v>26</v>
      </c>
      <c r="M583" t="s">
        <v>32</v>
      </c>
      <c r="N583">
        <v>32</v>
      </c>
      <c r="O583" t="str" cm="1">
        <f t="array" ref="O583">_xlfn.IFS(N583&gt;=54,"old",N583&gt;=31,"middle age",N583&gt;=18,"adolsent",N583&lt;18,"invalid")</f>
        <v>middle age</v>
      </c>
      <c r="P583" t="s">
        <v>15</v>
      </c>
    </row>
    <row r="584" spans="3:16" x14ac:dyDescent="0.3">
      <c r="C584">
        <v>21441</v>
      </c>
      <c r="D584" t="s">
        <v>36</v>
      </c>
      <c r="E584" t="s">
        <v>38</v>
      </c>
      <c r="F584" s="3">
        <v>50000</v>
      </c>
      <c r="G584">
        <v>4</v>
      </c>
      <c r="H584" t="s">
        <v>13</v>
      </c>
      <c r="I584" t="s">
        <v>28</v>
      </c>
      <c r="J584" t="s">
        <v>15</v>
      </c>
      <c r="K584">
        <v>2</v>
      </c>
      <c r="L584" t="s">
        <v>30</v>
      </c>
      <c r="M584" t="s">
        <v>32</v>
      </c>
      <c r="N584">
        <v>64</v>
      </c>
      <c r="O584" t="str" cm="1">
        <f t="array" ref="O584">_xlfn.IFS(N584&gt;=54,"old",N584&gt;=31,"middle age",N584&gt;=18,"adolsent",N584&lt;18,"invalid")</f>
        <v>old</v>
      </c>
      <c r="P584" t="s">
        <v>18</v>
      </c>
    </row>
    <row r="585" spans="3:16" x14ac:dyDescent="0.3">
      <c r="C585">
        <v>21451</v>
      </c>
      <c r="D585" t="s">
        <v>36</v>
      </c>
      <c r="E585" t="s">
        <v>39</v>
      </c>
      <c r="F585" s="3">
        <v>40000</v>
      </c>
      <c r="G585">
        <v>4</v>
      </c>
      <c r="H585" t="s">
        <v>27</v>
      </c>
      <c r="I585" t="s">
        <v>21</v>
      </c>
      <c r="J585" t="s">
        <v>15</v>
      </c>
      <c r="K585">
        <v>2</v>
      </c>
      <c r="L585" t="s">
        <v>30</v>
      </c>
      <c r="M585" t="s">
        <v>32</v>
      </c>
      <c r="N585">
        <v>61</v>
      </c>
      <c r="O585" t="str" cm="1">
        <f t="array" ref="O585">_xlfn.IFS(N585&gt;=54,"old",N585&gt;=31,"middle age",N585&gt;=18,"adolsent",N585&lt;18,"invalid")</f>
        <v>old</v>
      </c>
      <c r="P585" t="s">
        <v>18</v>
      </c>
    </row>
    <row r="586" spans="3:16" x14ac:dyDescent="0.3">
      <c r="C586">
        <v>21471</v>
      </c>
      <c r="D586" t="s">
        <v>36</v>
      </c>
      <c r="E586" t="s">
        <v>38</v>
      </c>
      <c r="F586" s="3">
        <v>70000</v>
      </c>
      <c r="G586">
        <v>2</v>
      </c>
      <c r="H586" t="s">
        <v>19</v>
      </c>
      <c r="I586" t="s">
        <v>21</v>
      </c>
      <c r="J586" t="s">
        <v>15</v>
      </c>
      <c r="K586">
        <v>1</v>
      </c>
      <c r="L586" t="s">
        <v>30</v>
      </c>
      <c r="M586" t="s">
        <v>32</v>
      </c>
      <c r="N586">
        <v>59</v>
      </c>
      <c r="O586" t="str" cm="1">
        <f t="array" ref="O586">_xlfn.IFS(N586&gt;=54,"old",N586&gt;=31,"middle age",N586&gt;=18,"adolsent",N586&lt;18,"invalid")</f>
        <v>old</v>
      </c>
      <c r="P586" t="s">
        <v>18</v>
      </c>
    </row>
    <row r="587" spans="3:16" x14ac:dyDescent="0.3">
      <c r="C587">
        <v>21554</v>
      </c>
      <c r="D587" t="s">
        <v>37</v>
      </c>
      <c r="E587" t="s">
        <v>39</v>
      </c>
      <c r="F587" s="3">
        <v>80000</v>
      </c>
      <c r="G587">
        <v>0</v>
      </c>
      <c r="H587" t="s">
        <v>13</v>
      </c>
      <c r="I587" t="s">
        <v>21</v>
      </c>
      <c r="J587" t="s">
        <v>18</v>
      </c>
      <c r="K587">
        <v>3</v>
      </c>
      <c r="L587" t="s">
        <v>30</v>
      </c>
      <c r="M587" t="s">
        <v>24</v>
      </c>
      <c r="N587">
        <v>33</v>
      </c>
      <c r="O587" t="str" cm="1">
        <f t="array" ref="O587">_xlfn.IFS(N587&gt;=54,"old",N587&gt;=31,"middle age",N587&gt;=18,"adolsent",N587&lt;18,"invalid")</f>
        <v>middle age</v>
      </c>
      <c r="P587" t="s">
        <v>18</v>
      </c>
    </row>
    <row r="588" spans="3:16" x14ac:dyDescent="0.3">
      <c r="C588">
        <v>21557</v>
      </c>
      <c r="D588" t="s">
        <v>37</v>
      </c>
      <c r="E588" t="s">
        <v>39</v>
      </c>
      <c r="F588" s="3">
        <v>110000</v>
      </c>
      <c r="G588">
        <v>0</v>
      </c>
      <c r="H588" t="s">
        <v>19</v>
      </c>
      <c r="I588" t="s">
        <v>28</v>
      </c>
      <c r="J588" t="s">
        <v>15</v>
      </c>
      <c r="K588">
        <v>3</v>
      </c>
      <c r="L588" t="s">
        <v>30</v>
      </c>
      <c r="M588" t="s">
        <v>24</v>
      </c>
      <c r="N588">
        <v>32</v>
      </c>
      <c r="O588" t="str" cm="1">
        <f t="array" ref="O588">_xlfn.IFS(N588&gt;=54,"old",N588&gt;=31,"middle age",N588&gt;=18,"adolsent",N588&lt;18,"invalid")</f>
        <v>middle age</v>
      </c>
      <c r="P588" t="s">
        <v>15</v>
      </c>
    </row>
    <row r="589" spans="3:16" x14ac:dyDescent="0.3">
      <c r="C589">
        <v>21560</v>
      </c>
      <c r="D589" t="s">
        <v>36</v>
      </c>
      <c r="E589" t="s">
        <v>38</v>
      </c>
      <c r="F589" s="3">
        <v>120000</v>
      </c>
      <c r="G589">
        <v>0</v>
      </c>
      <c r="H589" t="s">
        <v>29</v>
      </c>
      <c r="I589" t="s">
        <v>21</v>
      </c>
      <c r="J589" t="s">
        <v>15</v>
      </c>
      <c r="K589">
        <v>4</v>
      </c>
      <c r="L589" t="s">
        <v>30</v>
      </c>
      <c r="M589" t="s">
        <v>24</v>
      </c>
      <c r="N589">
        <v>32</v>
      </c>
      <c r="O589" t="str" cm="1">
        <f t="array" ref="O589">_xlfn.IFS(N589&gt;=54,"old",N589&gt;=31,"middle age",N589&gt;=18,"adolsent",N589&lt;18,"invalid")</f>
        <v>middle age</v>
      </c>
      <c r="P589" t="s">
        <v>15</v>
      </c>
    </row>
    <row r="590" spans="3:16" x14ac:dyDescent="0.3">
      <c r="C590">
        <v>21561</v>
      </c>
      <c r="D590" t="s">
        <v>37</v>
      </c>
      <c r="E590" t="s">
        <v>38</v>
      </c>
      <c r="F590" s="3">
        <v>90000</v>
      </c>
      <c r="G590">
        <v>0</v>
      </c>
      <c r="H590" t="s">
        <v>13</v>
      </c>
      <c r="I590" t="s">
        <v>21</v>
      </c>
      <c r="J590" t="s">
        <v>18</v>
      </c>
      <c r="K590">
        <v>3</v>
      </c>
      <c r="L590" t="s">
        <v>30</v>
      </c>
      <c r="M590" t="s">
        <v>24</v>
      </c>
      <c r="N590">
        <v>34</v>
      </c>
      <c r="O590" t="str" cm="1">
        <f t="array" ref="O590">_xlfn.IFS(N590&gt;=54,"old",N590&gt;=31,"middle age",N590&gt;=18,"adolsent",N590&lt;18,"invalid")</f>
        <v>middle age</v>
      </c>
      <c r="P590" t="s">
        <v>15</v>
      </c>
    </row>
    <row r="591" spans="3:16" x14ac:dyDescent="0.3">
      <c r="C591">
        <v>21564</v>
      </c>
      <c r="D591" t="s">
        <v>37</v>
      </c>
      <c r="E591" t="s">
        <v>39</v>
      </c>
      <c r="F591" s="3">
        <v>80000</v>
      </c>
      <c r="G591">
        <v>0</v>
      </c>
      <c r="H591" t="s">
        <v>13</v>
      </c>
      <c r="I591" t="s">
        <v>21</v>
      </c>
      <c r="J591" t="s">
        <v>15</v>
      </c>
      <c r="K591">
        <v>4</v>
      </c>
      <c r="L591" t="s">
        <v>30</v>
      </c>
      <c r="M591" t="s">
        <v>24</v>
      </c>
      <c r="N591">
        <v>35</v>
      </c>
      <c r="O591" t="str" cm="1">
        <f t="array" ref="O591">_xlfn.IFS(N591&gt;=54,"old",N591&gt;=31,"middle age",N591&gt;=18,"adolsent",N591&lt;18,"invalid")</f>
        <v>middle age</v>
      </c>
      <c r="P591" t="s">
        <v>18</v>
      </c>
    </row>
    <row r="592" spans="3:16" x14ac:dyDescent="0.3">
      <c r="C592">
        <v>21568</v>
      </c>
      <c r="D592" t="s">
        <v>36</v>
      </c>
      <c r="E592" t="s">
        <v>39</v>
      </c>
      <c r="F592" s="3">
        <v>100000</v>
      </c>
      <c r="G592">
        <v>0</v>
      </c>
      <c r="H592" t="s">
        <v>27</v>
      </c>
      <c r="I592" t="s">
        <v>28</v>
      </c>
      <c r="J592" t="s">
        <v>15</v>
      </c>
      <c r="K592">
        <v>4</v>
      </c>
      <c r="L592" t="s">
        <v>30</v>
      </c>
      <c r="M592" t="s">
        <v>24</v>
      </c>
      <c r="N592">
        <v>34</v>
      </c>
      <c r="O592" t="str" cm="1">
        <f t="array" ref="O592">_xlfn.IFS(N592&gt;=54,"old",N592&gt;=31,"middle age",N592&gt;=18,"adolsent",N592&lt;18,"invalid")</f>
        <v>middle age</v>
      </c>
      <c r="P592" t="s">
        <v>15</v>
      </c>
    </row>
    <row r="593" spans="3:16" x14ac:dyDescent="0.3">
      <c r="C593">
        <v>21583</v>
      </c>
      <c r="D593" t="s">
        <v>36</v>
      </c>
      <c r="E593" t="s">
        <v>39</v>
      </c>
      <c r="F593" s="3">
        <v>50000</v>
      </c>
      <c r="G593">
        <v>1</v>
      </c>
      <c r="H593" t="s">
        <v>13</v>
      </c>
      <c r="I593" t="s">
        <v>14</v>
      </c>
      <c r="J593" t="s">
        <v>15</v>
      </c>
      <c r="K593">
        <v>0</v>
      </c>
      <c r="L593" t="s">
        <v>16</v>
      </c>
      <c r="M593" t="s">
        <v>32</v>
      </c>
      <c r="N593">
        <v>34</v>
      </c>
      <c r="O593" t="str" cm="1">
        <f t="array" ref="O593">_xlfn.IFS(N593&gt;=54,"old",N593&gt;=31,"middle age",N593&gt;=18,"adolsent",N593&lt;18,"invalid")</f>
        <v>middle age</v>
      </c>
      <c r="P593" t="s">
        <v>15</v>
      </c>
    </row>
    <row r="594" spans="3:16" x14ac:dyDescent="0.3">
      <c r="C594">
        <v>21587</v>
      </c>
      <c r="D594" t="s">
        <v>36</v>
      </c>
      <c r="E594" t="s">
        <v>39</v>
      </c>
      <c r="F594" s="3">
        <v>60000</v>
      </c>
      <c r="G594">
        <v>1</v>
      </c>
      <c r="H594" t="s">
        <v>31</v>
      </c>
      <c r="I594" t="s">
        <v>14</v>
      </c>
      <c r="J594" t="s">
        <v>15</v>
      </c>
      <c r="K594">
        <v>0</v>
      </c>
      <c r="L594" t="s">
        <v>22</v>
      </c>
      <c r="M594" t="s">
        <v>32</v>
      </c>
      <c r="N594">
        <v>34</v>
      </c>
      <c r="O594" t="str" cm="1">
        <f t="array" ref="O594">_xlfn.IFS(N594&gt;=54,"old",N594&gt;=31,"middle age",N594&gt;=18,"adolsent",N594&lt;18,"invalid")</f>
        <v>middle age</v>
      </c>
      <c r="P594" t="s">
        <v>15</v>
      </c>
    </row>
    <row r="595" spans="3:16" x14ac:dyDescent="0.3">
      <c r="C595">
        <v>21599</v>
      </c>
      <c r="D595" t="s">
        <v>36</v>
      </c>
      <c r="E595" t="s">
        <v>39</v>
      </c>
      <c r="F595" s="3">
        <v>60000</v>
      </c>
      <c r="G595">
        <v>1</v>
      </c>
      <c r="H595" t="s">
        <v>31</v>
      </c>
      <c r="I595" t="s">
        <v>21</v>
      </c>
      <c r="J595" t="s">
        <v>15</v>
      </c>
      <c r="K595">
        <v>0</v>
      </c>
      <c r="L595" t="s">
        <v>22</v>
      </c>
      <c r="M595" t="s">
        <v>32</v>
      </c>
      <c r="N595">
        <v>36</v>
      </c>
      <c r="O595" t="str" cm="1">
        <f t="array" ref="O595">_xlfn.IFS(N595&gt;=54,"old",N595&gt;=31,"middle age",N595&gt;=18,"adolsent",N595&lt;18,"invalid")</f>
        <v>middle age</v>
      </c>
      <c r="P595" t="s">
        <v>15</v>
      </c>
    </row>
    <row r="596" spans="3:16" x14ac:dyDescent="0.3">
      <c r="C596">
        <v>21613</v>
      </c>
      <c r="D596" t="s">
        <v>37</v>
      </c>
      <c r="E596" t="s">
        <v>38</v>
      </c>
      <c r="F596" s="3">
        <v>50000</v>
      </c>
      <c r="G596">
        <v>2</v>
      </c>
      <c r="H596" t="s">
        <v>13</v>
      </c>
      <c r="I596" t="s">
        <v>14</v>
      </c>
      <c r="J596" t="s">
        <v>18</v>
      </c>
      <c r="K596">
        <v>1</v>
      </c>
      <c r="L596" t="s">
        <v>16</v>
      </c>
      <c r="M596" t="s">
        <v>32</v>
      </c>
      <c r="N596">
        <v>39</v>
      </c>
      <c r="O596" t="str" cm="1">
        <f t="array" ref="O596">_xlfn.IFS(N596&gt;=54,"old",N596&gt;=31,"middle age",N596&gt;=18,"adolsent",N596&lt;18,"invalid")</f>
        <v>middle age</v>
      </c>
      <c r="P596" t="s">
        <v>15</v>
      </c>
    </row>
    <row r="597" spans="3:16" x14ac:dyDescent="0.3">
      <c r="C597">
        <v>21660</v>
      </c>
      <c r="D597" t="s">
        <v>36</v>
      </c>
      <c r="E597" t="s">
        <v>39</v>
      </c>
      <c r="F597" s="3">
        <v>60000</v>
      </c>
      <c r="G597">
        <v>3</v>
      </c>
      <c r="H597" t="s">
        <v>31</v>
      </c>
      <c r="I597" t="s">
        <v>21</v>
      </c>
      <c r="J597" t="s">
        <v>15</v>
      </c>
      <c r="K597">
        <v>0</v>
      </c>
      <c r="L597" t="s">
        <v>22</v>
      </c>
      <c r="M597" t="s">
        <v>32</v>
      </c>
      <c r="N597">
        <v>43</v>
      </c>
      <c r="O597" t="str" cm="1">
        <f t="array" ref="O597">_xlfn.IFS(N597&gt;=54,"old",N597&gt;=31,"middle age",N597&gt;=18,"adolsent",N597&lt;18,"invalid")</f>
        <v>middle age</v>
      </c>
      <c r="P597" t="s">
        <v>15</v>
      </c>
    </row>
    <row r="598" spans="3:16" x14ac:dyDescent="0.3">
      <c r="C598">
        <v>21693</v>
      </c>
      <c r="D598" t="s">
        <v>37</v>
      </c>
      <c r="E598" t="s">
        <v>39</v>
      </c>
      <c r="F598" s="3">
        <v>60000</v>
      </c>
      <c r="G598">
        <v>0</v>
      </c>
      <c r="H598" t="s">
        <v>31</v>
      </c>
      <c r="I598" t="s">
        <v>14</v>
      </c>
      <c r="J598" t="s">
        <v>18</v>
      </c>
      <c r="K598">
        <v>0</v>
      </c>
      <c r="L598" t="s">
        <v>16</v>
      </c>
      <c r="M598" t="s">
        <v>32</v>
      </c>
      <c r="N598">
        <v>40</v>
      </c>
      <c r="O598" t="str" cm="1">
        <f t="array" ref="O598">_xlfn.IFS(N598&gt;=54,"old",N598&gt;=31,"middle age",N598&gt;=18,"adolsent",N598&lt;18,"invalid")</f>
        <v>middle age</v>
      </c>
      <c r="P598" t="s">
        <v>18</v>
      </c>
    </row>
    <row r="599" spans="3:16" x14ac:dyDescent="0.3">
      <c r="C599">
        <v>21695</v>
      </c>
      <c r="D599" t="s">
        <v>36</v>
      </c>
      <c r="E599" t="s">
        <v>38</v>
      </c>
      <c r="F599" s="3">
        <v>60000</v>
      </c>
      <c r="G599">
        <v>0</v>
      </c>
      <c r="H599" t="s">
        <v>31</v>
      </c>
      <c r="I599" t="s">
        <v>14</v>
      </c>
      <c r="J599" t="s">
        <v>15</v>
      </c>
      <c r="K599">
        <v>0</v>
      </c>
      <c r="L599" t="s">
        <v>26</v>
      </c>
      <c r="M599" t="s">
        <v>32</v>
      </c>
      <c r="N599">
        <v>39</v>
      </c>
      <c r="O599" t="str" cm="1">
        <f t="array" ref="O599">_xlfn.IFS(N599&gt;=54,"old",N599&gt;=31,"middle age",N599&gt;=18,"adolsent",N599&lt;18,"invalid")</f>
        <v>middle age</v>
      </c>
      <c r="P599" t="s">
        <v>15</v>
      </c>
    </row>
    <row r="600" spans="3:16" x14ac:dyDescent="0.3">
      <c r="C600">
        <v>21713</v>
      </c>
      <c r="D600" t="s">
        <v>37</v>
      </c>
      <c r="E600" t="s">
        <v>38</v>
      </c>
      <c r="F600" s="3">
        <v>80000</v>
      </c>
      <c r="G600">
        <v>5</v>
      </c>
      <c r="H600" t="s">
        <v>31</v>
      </c>
      <c r="I600" t="s">
        <v>14</v>
      </c>
      <c r="J600" t="s">
        <v>18</v>
      </c>
      <c r="K600">
        <v>0</v>
      </c>
      <c r="L600" t="s">
        <v>16</v>
      </c>
      <c r="M600" t="s">
        <v>32</v>
      </c>
      <c r="N600">
        <v>47</v>
      </c>
      <c r="O600" t="str" cm="1">
        <f t="array" ref="O600">_xlfn.IFS(N600&gt;=54,"old",N600&gt;=31,"middle age",N600&gt;=18,"adolsent",N600&lt;18,"invalid")</f>
        <v>middle age</v>
      </c>
      <c r="P600" t="s">
        <v>18</v>
      </c>
    </row>
    <row r="601" spans="3:16" x14ac:dyDescent="0.3">
      <c r="C601">
        <v>21714</v>
      </c>
      <c r="D601" t="s">
        <v>37</v>
      </c>
      <c r="E601" t="s">
        <v>39</v>
      </c>
      <c r="F601" s="3">
        <v>80000</v>
      </c>
      <c r="G601">
        <v>5</v>
      </c>
      <c r="H601" t="s">
        <v>31</v>
      </c>
      <c r="I601" t="s">
        <v>14</v>
      </c>
      <c r="J601" t="s">
        <v>18</v>
      </c>
      <c r="K601">
        <v>0</v>
      </c>
      <c r="L601" t="s">
        <v>16</v>
      </c>
      <c r="M601" t="s">
        <v>32</v>
      </c>
      <c r="N601">
        <v>47</v>
      </c>
      <c r="O601" t="str" cm="1">
        <f t="array" ref="O601">_xlfn.IFS(N601&gt;=54,"old",N601&gt;=31,"middle age",N601&gt;=18,"adolsent",N601&lt;18,"invalid")</f>
        <v>middle age</v>
      </c>
      <c r="P601" t="s">
        <v>18</v>
      </c>
    </row>
    <row r="602" spans="3:16" x14ac:dyDescent="0.3">
      <c r="C602">
        <v>21717</v>
      </c>
      <c r="D602" t="s">
        <v>36</v>
      </c>
      <c r="E602" t="s">
        <v>38</v>
      </c>
      <c r="F602" s="3">
        <v>40000</v>
      </c>
      <c r="G602">
        <v>2</v>
      </c>
      <c r="H602" t="s">
        <v>19</v>
      </c>
      <c r="I602" t="s">
        <v>20</v>
      </c>
      <c r="J602" t="s">
        <v>15</v>
      </c>
      <c r="K602">
        <v>1</v>
      </c>
      <c r="L602" t="s">
        <v>16</v>
      </c>
      <c r="M602" t="s">
        <v>32</v>
      </c>
      <c r="N602">
        <v>47</v>
      </c>
      <c r="O602" t="str" cm="1">
        <f t="array" ref="O602">_xlfn.IFS(N602&gt;=54,"old",N602&gt;=31,"middle age",N602&gt;=18,"adolsent",N602&lt;18,"invalid")</f>
        <v>middle age</v>
      </c>
      <c r="P602" t="s">
        <v>18</v>
      </c>
    </row>
    <row r="603" spans="3:16" x14ac:dyDescent="0.3">
      <c r="C603">
        <v>21738</v>
      </c>
      <c r="D603" t="s">
        <v>36</v>
      </c>
      <c r="E603" t="s">
        <v>38</v>
      </c>
      <c r="F603" s="3">
        <v>20000</v>
      </c>
      <c r="G603">
        <v>1</v>
      </c>
      <c r="H603" t="s">
        <v>31</v>
      </c>
      <c r="I603" t="s">
        <v>20</v>
      </c>
      <c r="J603" t="s">
        <v>15</v>
      </c>
      <c r="K603">
        <v>0</v>
      </c>
      <c r="L603" t="s">
        <v>16</v>
      </c>
      <c r="M603" t="s">
        <v>17</v>
      </c>
      <c r="N603">
        <v>43</v>
      </c>
      <c r="O603" t="str" cm="1">
        <f t="array" ref="O603">_xlfn.IFS(N603&gt;=54,"old",N603&gt;=31,"middle age",N603&gt;=18,"adolsent",N603&lt;18,"invalid")</f>
        <v>middle age</v>
      </c>
      <c r="P603" t="s">
        <v>18</v>
      </c>
    </row>
    <row r="604" spans="3:16" x14ac:dyDescent="0.3">
      <c r="C604">
        <v>21741</v>
      </c>
      <c r="D604" t="s">
        <v>36</v>
      </c>
      <c r="E604" t="s">
        <v>39</v>
      </c>
      <c r="F604" s="3">
        <v>70000</v>
      </c>
      <c r="G604">
        <v>3</v>
      </c>
      <c r="H604" t="s">
        <v>19</v>
      </c>
      <c r="I604" t="s">
        <v>21</v>
      </c>
      <c r="J604" t="s">
        <v>15</v>
      </c>
      <c r="K604">
        <v>2</v>
      </c>
      <c r="L604" t="s">
        <v>23</v>
      </c>
      <c r="M604" t="s">
        <v>32</v>
      </c>
      <c r="N604">
        <v>50</v>
      </c>
      <c r="O604" t="str" cm="1">
        <f t="array" ref="O604">_xlfn.IFS(N604&gt;=54,"old",N604&gt;=31,"middle age",N604&gt;=18,"adolsent",N604&lt;18,"invalid")</f>
        <v>middle age</v>
      </c>
      <c r="P604" t="s">
        <v>15</v>
      </c>
    </row>
    <row r="605" spans="3:16" x14ac:dyDescent="0.3">
      <c r="C605">
        <v>21751</v>
      </c>
      <c r="D605" t="s">
        <v>36</v>
      </c>
      <c r="E605" t="s">
        <v>38</v>
      </c>
      <c r="F605" s="3">
        <v>60000</v>
      </c>
      <c r="G605">
        <v>3</v>
      </c>
      <c r="H605" t="s">
        <v>31</v>
      </c>
      <c r="I605" t="s">
        <v>28</v>
      </c>
      <c r="J605" t="s">
        <v>15</v>
      </c>
      <c r="K605">
        <v>2</v>
      </c>
      <c r="L605" t="s">
        <v>26</v>
      </c>
      <c r="M605" t="s">
        <v>32</v>
      </c>
      <c r="N605">
        <v>63</v>
      </c>
      <c r="O605" t="str" cm="1">
        <f t="array" ref="O605">_xlfn.IFS(N605&gt;=54,"old",N605&gt;=31,"middle age",N605&gt;=18,"adolsent",N605&lt;18,"invalid")</f>
        <v>old</v>
      </c>
      <c r="P605" t="s">
        <v>18</v>
      </c>
    </row>
    <row r="606" spans="3:16" x14ac:dyDescent="0.3">
      <c r="C606">
        <v>21752</v>
      </c>
      <c r="D606" t="s">
        <v>36</v>
      </c>
      <c r="E606" t="s">
        <v>38</v>
      </c>
      <c r="F606" s="3">
        <v>60000</v>
      </c>
      <c r="G606">
        <v>3</v>
      </c>
      <c r="H606" t="s">
        <v>31</v>
      </c>
      <c r="I606" t="s">
        <v>28</v>
      </c>
      <c r="J606" t="s">
        <v>15</v>
      </c>
      <c r="K606">
        <v>2</v>
      </c>
      <c r="L606" t="s">
        <v>30</v>
      </c>
      <c r="M606" t="s">
        <v>32</v>
      </c>
      <c r="N606">
        <v>64</v>
      </c>
      <c r="O606" t="str" cm="1">
        <f t="array" ref="O606">_xlfn.IFS(N606&gt;=54,"old",N606&gt;=31,"middle age",N606&gt;=18,"adolsent",N606&lt;18,"invalid")</f>
        <v>old</v>
      </c>
      <c r="P606" t="s">
        <v>18</v>
      </c>
    </row>
    <row r="607" spans="3:16" x14ac:dyDescent="0.3">
      <c r="C607">
        <v>21770</v>
      </c>
      <c r="D607" t="s">
        <v>36</v>
      </c>
      <c r="E607" t="s">
        <v>38</v>
      </c>
      <c r="F607" s="3">
        <v>60000</v>
      </c>
      <c r="G607">
        <v>4</v>
      </c>
      <c r="H607" t="s">
        <v>13</v>
      </c>
      <c r="I607" t="s">
        <v>28</v>
      </c>
      <c r="J607" t="s">
        <v>15</v>
      </c>
      <c r="K607">
        <v>2</v>
      </c>
      <c r="L607" t="s">
        <v>30</v>
      </c>
      <c r="M607" t="s">
        <v>32</v>
      </c>
      <c r="N607">
        <v>60</v>
      </c>
      <c r="O607" t="str" cm="1">
        <f t="array" ref="O607">_xlfn.IFS(N607&gt;=54,"old",N607&gt;=31,"middle age",N607&gt;=18,"adolsent",N607&lt;18,"invalid")</f>
        <v>old</v>
      </c>
      <c r="P607" t="s">
        <v>18</v>
      </c>
    </row>
    <row r="608" spans="3:16" x14ac:dyDescent="0.3">
      <c r="C608">
        <v>21801</v>
      </c>
      <c r="D608" t="s">
        <v>36</v>
      </c>
      <c r="E608" t="s">
        <v>39</v>
      </c>
      <c r="F608" s="3">
        <v>70000</v>
      </c>
      <c r="G608">
        <v>4</v>
      </c>
      <c r="H608" t="s">
        <v>19</v>
      </c>
      <c r="I608" t="s">
        <v>21</v>
      </c>
      <c r="J608" t="s">
        <v>15</v>
      </c>
      <c r="K608">
        <v>1</v>
      </c>
      <c r="L608" t="s">
        <v>26</v>
      </c>
      <c r="M608" t="s">
        <v>32</v>
      </c>
      <c r="N608">
        <v>55</v>
      </c>
      <c r="O608" t="str" cm="1">
        <f t="array" ref="O608">_xlfn.IFS(N608&gt;=54,"old",N608&gt;=31,"middle age",N608&gt;=18,"adolsent",N608&lt;18,"invalid")</f>
        <v>old</v>
      </c>
      <c r="P608" t="s">
        <v>18</v>
      </c>
    </row>
    <row r="609" spans="3:16" x14ac:dyDescent="0.3">
      <c r="C609">
        <v>21891</v>
      </c>
      <c r="D609" t="s">
        <v>36</v>
      </c>
      <c r="E609" t="s">
        <v>39</v>
      </c>
      <c r="F609" s="3">
        <v>110000</v>
      </c>
      <c r="G609">
        <v>0</v>
      </c>
      <c r="H609" t="s">
        <v>27</v>
      </c>
      <c r="I609" t="s">
        <v>28</v>
      </c>
      <c r="J609" t="s">
        <v>15</v>
      </c>
      <c r="K609">
        <v>3</v>
      </c>
      <c r="L609" t="s">
        <v>30</v>
      </c>
      <c r="M609" t="s">
        <v>24</v>
      </c>
      <c r="N609">
        <v>34</v>
      </c>
      <c r="O609" t="str" cm="1">
        <f t="array" ref="O609">_xlfn.IFS(N609&gt;=54,"old",N609&gt;=31,"middle age",N609&gt;=18,"adolsent",N609&lt;18,"invalid")</f>
        <v>middle age</v>
      </c>
      <c r="P609" t="s">
        <v>15</v>
      </c>
    </row>
    <row r="610" spans="3:16" x14ac:dyDescent="0.3">
      <c r="C610">
        <v>21940</v>
      </c>
      <c r="D610" t="s">
        <v>36</v>
      </c>
      <c r="E610" t="s">
        <v>38</v>
      </c>
      <c r="F610" s="3">
        <v>90000</v>
      </c>
      <c r="G610">
        <v>5</v>
      </c>
      <c r="H610" t="s">
        <v>31</v>
      </c>
      <c r="I610" t="s">
        <v>21</v>
      </c>
      <c r="J610" t="s">
        <v>15</v>
      </c>
      <c r="K610">
        <v>0</v>
      </c>
      <c r="L610" t="s">
        <v>16</v>
      </c>
      <c r="M610" t="s">
        <v>32</v>
      </c>
      <c r="N610">
        <v>47</v>
      </c>
      <c r="O610" t="str" cm="1">
        <f t="array" ref="O610">_xlfn.IFS(N610&gt;=54,"old",N610&gt;=31,"middle age",N610&gt;=18,"adolsent",N610&lt;18,"invalid")</f>
        <v>middle age</v>
      </c>
      <c r="P610" t="s">
        <v>15</v>
      </c>
    </row>
    <row r="611" spans="3:16" x14ac:dyDescent="0.3">
      <c r="C611">
        <v>21974</v>
      </c>
      <c r="D611" t="s">
        <v>37</v>
      </c>
      <c r="E611" t="s">
        <v>39</v>
      </c>
      <c r="F611" s="3">
        <v>70000</v>
      </c>
      <c r="G611">
        <v>0</v>
      </c>
      <c r="H611" t="s">
        <v>13</v>
      </c>
      <c r="I611" t="s">
        <v>21</v>
      </c>
      <c r="J611" t="s">
        <v>15</v>
      </c>
      <c r="K611">
        <v>1</v>
      </c>
      <c r="L611" t="s">
        <v>23</v>
      </c>
      <c r="M611" t="s">
        <v>24</v>
      </c>
      <c r="N611">
        <v>42</v>
      </c>
      <c r="O611" t="str" cm="1">
        <f t="array" ref="O611">_xlfn.IFS(N611&gt;=54,"old",N611&gt;=31,"middle age",N611&gt;=18,"adolsent",N611&lt;18,"invalid")</f>
        <v>middle age</v>
      </c>
      <c r="P611" t="s">
        <v>15</v>
      </c>
    </row>
    <row r="612" spans="3:16" x14ac:dyDescent="0.3">
      <c r="C612">
        <v>21980</v>
      </c>
      <c r="D612" t="s">
        <v>37</v>
      </c>
      <c r="E612" t="s">
        <v>39</v>
      </c>
      <c r="F612" s="3">
        <v>60000</v>
      </c>
      <c r="G612">
        <v>1</v>
      </c>
      <c r="H612" t="s">
        <v>13</v>
      </c>
      <c r="I612" t="s">
        <v>21</v>
      </c>
      <c r="J612" t="s">
        <v>15</v>
      </c>
      <c r="K612">
        <v>1</v>
      </c>
      <c r="L612" t="s">
        <v>23</v>
      </c>
      <c r="M612" t="s">
        <v>24</v>
      </c>
      <c r="N612">
        <v>44</v>
      </c>
      <c r="O612" t="str" cm="1">
        <f t="array" ref="O612">_xlfn.IFS(N612&gt;=54,"old",N612&gt;=31,"middle age",N612&gt;=18,"adolsent",N612&lt;18,"invalid")</f>
        <v>middle age</v>
      </c>
      <c r="P612" t="s">
        <v>15</v>
      </c>
    </row>
    <row r="613" spans="3:16" x14ac:dyDescent="0.3">
      <c r="C613">
        <v>22005</v>
      </c>
      <c r="D613" t="s">
        <v>36</v>
      </c>
      <c r="E613" t="s">
        <v>39</v>
      </c>
      <c r="F613" s="3">
        <v>70000</v>
      </c>
      <c r="G613">
        <v>5</v>
      </c>
      <c r="H613" t="s">
        <v>19</v>
      </c>
      <c r="I613" t="s">
        <v>14</v>
      </c>
      <c r="J613" t="s">
        <v>18</v>
      </c>
      <c r="K613">
        <v>3</v>
      </c>
      <c r="L613" t="s">
        <v>23</v>
      </c>
      <c r="M613" t="s">
        <v>24</v>
      </c>
      <c r="N613">
        <v>46</v>
      </c>
      <c r="O613" t="str" cm="1">
        <f t="array" ref="O613">_xlfn.IFS(N613&gt;=54,"old",N613&gt;=31,"middle age",N613&gt;=18,"adolsent",N613&lt;18,"invalid")</f>
        <v>middle age</v>
      </c>
      <c r="P613" t="s">
        <v>18</v>
      </c>
    </row>
    <row r="614" spans="3:16" x14ac:dyDescent="0.3">
      <c r="C614">
        <v>22006</v>
      </c>
      <c r="D614" t="s">
        <v>36</v>
      </c>
      <c r="E614" t="s">
        <v>38</v>
      </c>
      <c r="F614" s="3">
        <v>70000</v>
      </c>
      <c r="G614">
        <v>5</v>
      </c>
      <c r="H614" t="s">
        <v>19</v>
      </c>
      <c r="I614" t="s">
        <v>14</v>
      </c>
      <c r="J614" t="s">
        <v>15</v>
      </c>
      <c r="K614">
        <v>3</v>
      </c>
      <c r="L614" t="s">
        <v>23</v>
      </c>
      <c r="M614" t="s">
        <v>24</v>
      </c>
      <c r="N614">
        <v>46</v>
      </c>
      <c r="O614" t="str" cm="1">
        <f t="array" ref="O614">_xlfn.IFS(N614&gt;=54,"old",N614&gt;=31,"middle age",N614&gt;=18,"adolsent",N614&lt;18,"invalid")</f>
        <v>middle age</v>
      </c>
      <c r="P614" t="s">
        <v>18</v>
      </c>
    </row>
    <row r="615" spans="3:16" x14ac:dyDescent="0.3">
      <c r="C615">
        <v>22010</v>
      </c>
      <c r="D615" t="s">
        <v>37</v>
      </c>
      <c r="E615" t="s">
        <v>38</v>
      </c>
      <c r="F615" s="3">
        <v>40000</v>
      </c>
      <c r="G615">
        <v>0</v>
      </c>
      <c r="H615" t="s">
        <v>27</v>
      </c>
      <c r="I615" t="s">
        <v>14</v>
      </c>
      <c r="J615" t="s">
        <v>15</v>
      </c>
      <c r="K615">
        <v>2</v>
      </c>
      <c r="L615" t="s">
        <v>23</v>
      </c>
      <c r="M615" t="s">
        <v>32</v>
      </c>
      <c r="N615">
        <v>31</v>
      </c>
      <c r="O615" t="str" cm="1">
        <f t="array" ref="O615">_xlfn.IFS(N615&gt;=54,"old",N615&gt;=31,"middle age",N615&gt;=18,"adolsent",N615&lt;18,"invalid")</f>
        <v>middle age</v>
      </c>
      <c r="P615" t="s">
        <v>18</v>
      </c>
    </row>
    <row r="616" spans="3:16" x14ac:dyDescent="0.3">
      <c r="C616">
        <v>22014</v>
      </c>
      <c r="D616" t="s">
        <v>37</v>
      </c>
      <c r="E616" t="s">
        <v>38</v>
      </c>
      <c r="F616" s="3">
        <v>30000</v>
      </c>
      <c r="G616">
        <v>0</v>
      </c>
      <c r="H616" t="s">
        <v>27</v>
      </c>
      <c r="I616" t="s">
        <v>14</v>
      </c>
      <c r="J616" t="s">
        <v>15</v>
      </c>
      <c r="K616">
        <v>2</v>
      </c>
      <c r="L616" t="s">
        <v>23</v>
      </c>
      <c r="M616" t="s">
        <v>32</v>
      </c>
      <c r="N616">
        <v>26</v>
      </c>
      <c r="O616" t="str" cm="1">
        <f t="array" ref="O616">_xlfn.IFS(N616&gt;=54,"old",N616&gt;=31,"middle age",N616&gt;=18,"adolsent",N616&lt;18,"invalid")</f>
        <v>adolsent</v>
      </c>
      <c r="P616" t="s">
        <v>18</v>
      </c>
    </row>
    <row r="617" spans="3:16" x14ac:dyDescent="0.3">
      <c r="C617">
        <v>22042</v>
      </c>
      <c r="D617" t="s">
        <v>36</v>
      </c>
      <c r="E617" t="s">
        <v>39</v>
      </c>
      <c r="F617" s="3">
        <v>70000</v>
      </c>
      <c r="G617">
        <v>0</v>
      </c>
      <c r="H617" t="s">
        <v>19</v>
      </c>
      <c r="I617" t="s">
        <v>14</v>
      </c>
      <c r="J617" t="s">
        <v>15</v>
      </c>
      <c r="K617">
        <v>2</v>
      </c>
      <c r="L617" t="s">
        <v>23</v>
      </c>
      <c r="M617" t="s">
        <v>32</v>
      </c>
      <c r="N617">
        <v>34</v>
      </c>
      <c r="O617" t="str" cm="1">
        <f t="array" ref="O617">_xlfn.IFS(N617&gt;=54,"old",N617&gt;=31,"middle age",N617&gt;=18,"adolsent",N617&lt;18,"invalid")</f>
        <v>middle age</v>
      </c>
      <c r="P617" t="s">
        <v>15</v>
      </c>
    </row>
    <row r="618" spans="3:16" x14ac:dyDescent="0.3">
      <c r="C618">
        <v>22046</v>
      </c>
      <c r="D618" t="s">
        <v>37</v>
      </c>
      <c r="E618" t="s">
        <v>39</v>
      </c>
      <c r="F618" s="3">
        <v>80000</v>
      </c>
      <c r="G618">
        <v>0</v>
      </c>
      <c r="H618" t="s">
        <v>13</v>
      </c>
      <c r="I618" t="s">
        <v>28</v>
      </c>
      <c r="J618" t="s">
        <v>18</v>
      </c>
      <c r="K618">
        <v>1</v>
      </c>
      <c r="L618" t="s">
        <v>16</v>
      </c>
      <c r="M618" t="s">
        <v>32</v>
      </c>
      <c r="N618">
        <v>38</v>
      </c>
      <c r="O618" t="str" cm="1">
        <f t="array" ref="O618">_xlfn.IFS(N618&gt;=54,"old",N618&gt;=31,"middle age",N618&gt;=18,"adolsent",N618&lt;18,"invalid")</f>
        <v>middle age</v>
      </c>
      <c r="P618" t="s">
        <v>15</v>
      </c>
    </row>
    <row r="619" spans="3:16" x14ac:dyDescent="0.3">
      <c r="C619">
        <v>22050</v>
      </c>
      <c r="D619" t="s">
        <v>37</v>
      </c>
      <c r="E619" t="s">
        <v>38</v>
      </c>
      <c r="F619" s="3">
        <v>90000</v>
      </c>
      <c r="G619">
        <v>4</v>
      </c>
      <c r="H619" t="s">
        <v>13</v>
      </c>
      <c r="I619" t="s">
        <v>28</v>
      </c>
      <c r="J619" t="s">
        <v>15</v>
      </c>
      <c r="K619">
        <v>1</v>
      </c>
      <c r="L619" t="s">
        <v>26</v>
      </c>
      <c r="M619" t="s">
        <v>32</v>
      </c>
      <c r="N619">
        <v>38</v>
      </c>
      <c r="O619" t="str" cm="1">
        <f t="array" ref="O619">_xlfn.IFS(N619&gt;=54,"old",N619&gt;=31,"middle age",N619&gt;=18,"adolsent",N619&lt;18,"invalid")</f>
        <v>middle age</v>
      </c>
      <c r="P619" t="s">
        <v>15</v>
      </c>
    </row>
    <row r="620" spans="3:16" x14ac:dyDescent="0.3">
      <c r="C620">
        <v>22088</v>
      </c>
      <c r="D620" t="s">
        <v>36</v>
      </c>
      <c r="E620" t="s">
        <v>39</v>
      </c>
      <c r="F620" s="3">
        <v>130000</v>
      </c>
      <c r="G620">
        <v>1</v>
      </c>
      <c r="H620" t="s">
        <v>13</v>
      </c>
      <c r="I620" t="s">
        <v>28</v>
      </c>
      <c r="J620" t="s">
        <v>15</v>
      </c>
      <c r="K620">
        <v>2</v>
      </c>
      <c r="L620" t="s">
        <v>16</v>
      </c>
      <c r="M620" t="s">
        <v>32</v>
      </c>
      <c r="N620">
        <v>45</v>
      </c>
      <c r="O620" t="str" cm="1">
        <f t="array" ref="O620">_xlfn.IFS(N620&gt;=54,"old",N620&gt;=31,"middle age",N620&gt;=18,"adolsent",N620&lt;18,"invalid")</f>
        <v>middle age</v>
      </c>
      <c r="P620" t="s">
        <v>15</v>
      </c>
    </row>
    <row r="621" spans="3:16" x14ac:dyDescent="0.3">
      <c r="C621">
        <v>22118</v>
      </c>
      <c r="D621" t="s">
        <v>37</v>
      </c>
      <c r="E621" t="s">
        <v>39</v>
      </c>
      <c r="F621" s="3">
        <v>70000</v>
      </c>
      <c r="G621">
        <v>3</v>
      </c>
      <c r="H621" t="s">
        <v>31</v>
      </c>
      <c r="I621" t="s">
        <v>28</v>
      </c>
      <c r="J621" t="s">
        <v>15</v>
      </c>
      <c r="K621">
        <v>2</v>
      </c>
      <c r="L621" t="s">
        <v>23</v>
      </c>
      <c r="M621" t="s">
        <v>32</v>
      </c>
      <c r="N621">
        <v>53</v>
      </c>
      <c r="O621" t="str" cm="1">
        <f t="array" ref="O621">_xlfn.IFS(N621&gt;=54,"old",N621&gt;=31,"middle age",N621&gt;=18,"adolsent",N621&lt;18,"invalid")</f>
        <v>middle age</v>
      </c>
      <c r="P621" t="s">
        <v>15</v>
      </c>
    </row>
    <row r="622" spans="3:16" x14ac:dyDescent="0.3">
      <c r="C622">
        <v>22127</v>
      </c>
      <c r="D622" t="s">
        <v>36</v>
      </c>
      <c r="E622" t="s">
        <v>38</v>
      </c>
      <c r="F622" s="3">
        <v>60000</v>
      </c>
      <c r="G622">
        <v>3</v>
      </c>
      <c r="H622" t="s">
        <v>31</v>
      </c>
      <c r="I622" t="s">
        <v>28</v>
      </c>
      <c r="J622" t="s">
        <v>15</v>
      </c>
      <c r="K622">
        <v>2</v>
      </c>
      <c r="L622" t="s">
        <v>26</v>
      </c>
      <c r="M622" t="s">
        <v>32</v>
      </c>
      <c r="N622">
        <v>67</v>
      </c>
      <c r="O622" t="str" cm="1">
        <f t="array" ref="O622">_xlfn.IFS(N622&gt;=54,"old",N622&gt;=31,"middle age",N622&gt;=18,"adolsent",N622&lt;18,"invalid")</f>
        <v>old</v>
      </c>
      <c r="P622" t="s">
        <v>18</v>
      </c>
    </row>
    <row r="623" spans="3:16" x14ac:dyDescent="0.3">
      <c r="C623">
        <v>22155</v>
      </c>
      <c r="D623" t="s">
        <v>36</v>
      </c>
      <c r="E623" t="s">
        <v>38</v>
      </c>
      <c r="F623" s="3">
        <v>20000</v>
      </c>
      <c r="G623">
        <v>2</v>
      </c>
      <c r="H623" t="s">
        <v>29</v>
      </c>
      <c r="I623" t="s">
        <v>20</v>
      </c>
      <c r="J623" t="s">
        <v>15</v>
      </c>
      <c r="K623">
        <v>2</v>
      </c>
      <c r="L623" t="s">
        <v>23</v>
      </c>
      <c r="M623" t="s">
        <v>24</v>
      </c>
      <c r="N623">
        <v>58</v>
      </c>
      <c r="O623" t="str" cm="1">
        <f t="array" ref="O623">_xlfn.IFS(N623&gt;=54,"old",N623&gt;=31,"middle age",N623&gt;=18,"adolsent",N623&lt;18,"invalid")</f>
        <v>old</v>
      </c>
      <c r="P623" t="s">
        <v>18</v>
      </c>
    </row>
    <row r="624" spans="3:16" x14ac:dyDescent="0.3">
      <c r="C624">
        <v>22170</v>
      </c>
      <c r="D624" t="s">
        <v>36</v>
      </c>
      <c r="E624" t="s">
        <v>39</v>
      </c>
      <c r="F624" s="3">
        <v>30000</v>
      </c>
      <c r="G624">
        <v>3</v>
      </c>
      <c r="H624" t="s">
        <v>19</v>
      </c>
      <c r="I624" t="s">
        <v>20</v>
      </c>
      <c r="J624" t="s">
        <v>18</v>
      </c>
      <c r="K624">
        <v>2</v>
      </c>
      <c r="L624" t="s">
        <v>26</v>
      </c>
      <c r="M624" t="s">
        <v>24</v>
      </c>
      <c r="N624">
        <v>55</v>
      </c>
      <c r="O624" t="str" cm="1">
        <f t="array" ref="O624">_xlfn.IFS(N624&gt;=54,"old",N624&gt;=31,"middle age",N624&gt;=18,"adolsent",N624&lt;18,"invalid")</f>
        <v>old</v>
      </c>
      <c r="P624" t="s">
        <v>15</v>
      </c>
    </row>
    <row r="625" spans="3:16" x14ac:dyDescent="0.3">
      <c r="C625">
        <v>22173</v>
      </c>
      <c r="D625" t="s">
        <v>36</v>
      </c>
      <c r="E625" t="s">
        <v>39</v>
      </c>
      <c r="F625" s="3">
        <v>30000</v>
      </c>
      <c r="G625">
        <v>3</v>
      </c>
      <c r="H625" t="s">
        <v>27</v>
      </c>
      <c r="I625" t="s">
        <v>14</v>
      </c>
      <c r="J625" t="s">
        <v>18</v>
      </c>
      <c r="K625">
        <v>2</v>
      </c>
      <c r="L625" t="s">
        <v>26</v>
      </c>
      <c r="M625" t="s">
        <v>24</v>
      </c>
      <c r="N625">
        <v>54</v>
      </c>
      <c r="O625" t="str" cm="1">
        <f t="array" ref="O625">_xlfn.IFS(N625&gt;=54,"old",N625&gt;=31,"middle age",N625&gt;=18,"adolsent",N625&lt;18,"invalid")</f>
        <v>old</v>
      </c>
      <c r="P625" t="s">
        <v>15</v>
      </c>
    </row>
    <row r="626" spans="3:16" x14ac:dyDescent="0.3">
      <c r="C626">
        <v>22174</v>
      </c>
      <c r="D626" t="s">
        <v>36</v>
      </c>
      <c r="E626" t="s">
        <v>38</v>
      </c>
      <c r="F626" s="3">
        <v>30000</v>
      </c>
      <c r="G626">
        <v>3</v>
      </c>
      <c r="H626" t="s">
        <v>27</v>
      </c>
      <c r="I626" t="s">
        <v>14</v>
      </c>
      <c r="J626" t="s">
        <v>15</v>
      </c>
      <c r="K626">
        <v>2</v>
      </c>
      <c r="L626" t="s">
        <v>23</v>
      </c>
      <c r="M626" t="s">
        <v>24</v>
      </c>
      <c r="N626">
        <v>54</v>
      </c>
      <c r="O626" t="str" cm="1">
        <f t="array" ref="O626">_xlfn.IFS(N626&gt;=54,"old",N626&gt;=31,"middle age",N626&gt;=18,"adolsent",N626&lt;18,"invalid")</f>
        <v>old</v>
      </c>
      <c r="P626" t="s">
        <v>15</v>
      </c>
    </row>
    <row r="627" spans="3:16" x14ac:dyDescent="0.3">
      <c r="C627">
        <v>22175</v>
      </c>
      <c r="D627" t="s">
        <v>36</v>
      </c>
      <c r="E627" t="s">
        <v>39</v>
      </c>
      <c r="F627" s="3">
        <v>30000</v>
      </c>
      <c r="G627">
        <v>3</v>
      </c>
      <c r="H627" t="s">
        <v>27</v>
      </c>
      <c r="I627" t="s">
        <v>14</v>
      </c>
      <c r="J627" t="s">
        <v>15</v>
      </c>
      <c r="K627">
        <v>2</v>
      </c>
      <c r="L627" t="s">
        <v>23</v>
      </c>
      <c r="M627" t="s">
        <v>24</v>
      </c>
      <c r="N627">
        <v>53</v>
      </c>
      <c r="O627" t="str" cm="1">
        <f t="array" ref="O627">_xlfn.IFS(N627&gt;=54,"old",N627&gt;=31,"middle age",N627&gt;=18,"adolsent",N627&lt;18,"invalid")</f>
        <v>middle age</v>
      </c>
      <c r="P627" t="s">
        <v>15</v>
      </c>
    </row>
    <row r="628" spans="3:16" x14ac:dyDescent="0.3">
      <c r="C628">
        <v>22204</v>
      </c>
      <c r="D628" t="s">
        <v>36</v>
      </c>
      <c r="E628" t="s">
        <v>38</v>
      </c>
      <c r="F628" s="3">
        <v>110000</v>
      </c>
      <c r="G628">
        <v>4</v>
      </c>
      <c r="H628" t="s">
        <v>13</v>
      </c>
      <c r="I628" t="s">
        <v>28</v>
      </c>
      <c r="J628" t="s">
        <v>15</v>
      </c>
      <c r="K628">
        <v>3</v>
      </c>
      <c r="L628" t="s">
        <v>22</v>
      </c>
      <c r="M628" t="s">
        <v>24</v>
      </c>
      <c r="N628">
        <v>48</v>
      </c>
      <c r="O628" t="str" cm="1">
        <f t="array" ref="O628">_xlfn.IFS(N628&gt;=54,"old",N628&gt;=31,"middle age",N628&gt;=18,"adolsent",N628&lt;18,"invalid")</f>
        <v>middle age</v>
      </c>
      <c r="P628" t="s">
        <v>18</v>
      </c>
    </row>
    <row r="629" spans="3:16" x14ac:dyDescent="0.3">
      <c r="C629">
        <v>22211</v>
      </c>
      <c r="D629" t="s">
        <v>36</v>
      </c>
      <c r="E629" t="s">
        <v>38</v>
      </c>
      <c r="F629" s="3">
        <v>60000</v>
      </c>
      <c r="G629">
        <v>0</v>
      </c>
      <c r="H629" t="s">
        <v>19</v>
      </c>
      <c r="I629" t="s">
        <v>21</v>
      </c>
      <c r="J629" t="s">
        <v>15</v>
      </c>
      <c r="K629">
        <v>2</v>
      </c>
      <c r="L629" t="s">
        <v>23</v>
      </c>
      <c r="M629" t="s">
        <v>32</v>
      </c>
      <c r="N629">
        <v>32</v>
      </c>
      <c r="O629" t="str" cm="1">
        <f t="array" ref="O629">_xlfn.IFS(N629&gt;=54,"old",N629&gt;=31,"middle age",N629&gt;=18,"adolsent",N629&lt;18,"invalid")</f>
        <v>middle age</v>
      </c>
      <c r="P629" t="s">
        <v>18</v>
      </c>
    </row>
    <row r="630" spans="3:16" x14ac:dyDescent="0.3">
      <c r="C630">
        <v>22219</v>
      </c>
      <c r="D630" t="s">
        <v>36</v>
      </c>
      <c r="E630" t="s">
        <v>39</v>
      </c>
      <c r="F630" s="3">
        <v>60000</v>
      </c>
      <c r="G630">
        <v>2</v>
      </c>
      <c r="H630" t="s">
        <v>27</v>
      </c>
      <c r="I630" t="s">
        <v>21</v>
      </c>
      <c r="J630" t="s">
        <v>15</v>
      </c>
      <c r="K630">
        <v>2</v>
      </c>
      <c r="L630" t="s">
        <v>23</v>
      </c>
      <c r="M630" t="s">
        <v>32</v>
      </c>
      <c r="N630">
        <v>49</v>
      </c>
      <c r="O630" t="str" cm="1">
        <f t="array" ref="O630">_xlfn.IFS(N630&gt;=54,"old",N630&gt;=31,"middle age",N630&gt;=18,"adolsent",N630&lt;18,"invalid")</f>
        <v>middle age</v>
      </c>
      <c r="P630" t="s">
        <v>18</v>
      </c>
    </row>
    <row r="631" spans="3:16" x14ac:dyDescent="0.3">
      <c r="C631">
        <v>22220</v>
      </c>
      <c r="D631" t="s">
        <v>36</v>
      </c>
      <c r="E631" t="s">
        <v>38</v>
      </c>
      <c r="F631" s="3">
        <v>60000</v>
      </c>
      <c r="G631">
        <v>2</v>
      </c>
      <c r="H631" t="s">
        <v>27</v>
      </c>
      <c r="I631" t="s">
        <v>21</v>
      </c>
      <c r="J631" t="s">
        <v>18</v>
      </c>
      <c r="K631">
        <v>2</v>
      </c>
      <c r="L631" t="s">
        <v>26</v>
      </c>
      <c r="M631" t="s">
        <v>32</v>
      </c>
      <c r="N631">
        <v>49</v>
      </c>
      <c r="O631" t="str" cm="1">
        <f t="array" ref="O631">_xlfn.IFS(N631&gt;=54,"old",N631&gt;=31,"middle age",N631&gt;=18,"adolsent",N631&lt;18,"invalid")</f>
        <v>middle age</v>
      </c>
      <c r="P631" t="s">
        <v>15</v>
      </c>
    </row>
    <row r="632" spans="3:16" x14ac:dyDescent="0.3">
      <c r="C632">
        <v>22221</v>
      </c>
      <c r="D632" t="s">
        <v>36</v>
      </c>
      <c r="E632" t="s">
        <v>38</v>
      </c>
      <c r="F632" s="3">
        <v>60000</v>
      </c>
      <c r="G632">
        <v>2</v>
      </c>
      <c r="H632" t="s">
        <v>27</v>
      </c>
      <c r="I632" t="s">
        <v>21</v>
      </c>
      <c r="J632" t="s">
        <v>18</v>
      </c>
      <c r="K632">
        <v>2</v>
      </c>
      <c r="L632" t="s">
        <v>26</v>
      </c>
      <c r="M632" t="s">
        <v>32</v>
      </c>
      <c r="N632">
        <v>48</v>
      </c>
      <c r="O632" t="str" cm="1">
        <f t="array" ref="O632">_xlfn.IFS(N632&gt;=54,"old",N632&gt;=31,"middle age",N632&gt;=18,"adolsent",N632&lt;18,"invalid")</f>
        <v>middle age</v>
      </c>
      <c r="P632" t="s">
        <v>15</v>
      </c>
    </row>
    <row r="633" spans="3:16" x14ac:dyDescent="0.3">
      <c r="C633">
        <v>22227</v>
      </c>
      <c r="D633" t="s">
        <v>36</v>
      </c>
      <c r="E633" t="s">
        <v>39</v>
      </c>
      <c r="F633" s="3">
        <v>60000</v>
      </c>
      <c r="G633">
        <v>2</v>
      </c>
      <c r="H633" t="s">
        <v>27</v>
      </c>
      <c r="I633" t="s">
        <v>21</v>
      </c>
      <c r="J633" t="s">
        <v>15</v>
      </c>
      <c r="K633">
        <v>2</v>
      </c>
      <c r="L633" t="s">
        <v>23</v>
      </c>
      <c r="M633" t="s">
        <v>32</v>
      </c>
      <c r="N633">
        <v>50</v>
      </c>
      <c r="O633" t="str" cm="1">
        <f t="array" ref="O633">_xlfn.IFS(N633&gt;=54,"old",N633&gt;=31,"middle age",N633&gt;=18,"adolsent",N633&lt;18,"invalid")</f>
        <v>middle age</v>
      </c>
      <c r="P633" t="s">
        <v>18</v>
      </c>
    </row>
    <row r="634" spans="3:16" x14ac:dyDescent="0.3">
      <c r="C634">
        <v>22252</v>
      </c>
      <c r="D634" t="s">
        <v>37</v>
      </c>
      <c r="E634" t="s">
        <v>39</v>
      </c>
      <c r="F634" s="3">
        <v>60000</v>
      </c>
      <c r="G634">
        <v>1</v>
      </c>
      <c r="H634" t="s">
        <v>31</v>
      </c>
      <c r="I634" t="s">
        <v>21</v>
      </c>
      <c r="J634" t="s">
        <v>15</v>
      </c>
      <c r="K634">
        <v>0</v>
      </c>
      <c r="L634" t="s">
        <v>22</v>
      </c>
      <c r="M634" t="s">
        <v>32</v>
      </c>
      <c r="N634">
        <v>36</v>
      </c>
      <c r="O634" t="str" cm="1">
        <f t="array" ref="O634">_xlfn.IFS(N634&gt;=54,"old",N634&gt;=31,"middle age",N634&gt;=18,"adolsent",N634&lt;18,"invalid")</f>
        <v>middle age</v>
      </c>
      <c r="P634" t="s">
        <v>15</v>
      </c>
    </row>
    <row r="635" spans="3:16" x14ac:dyDescent="0.3">
      <c r="C635">
        <v>22294</v>
      </c>
      <c r="D635" t="s">
        <v>37</v>
      </c>
      <c r="E635" t="s">
        <v>39</v>
      </c>
      <c r="F635" s="3">
        <v>70000</v>
      </c>
      <c r="G635">
        <v>0</v>
      </c>
      <c r="H635" t="s">
        <v>13</v>
      </c>
      <c r="I635" t="s">
        <v>21</v>
      </c>
      <c r="J635" t="s">
        <v>18</v>
      </c>
      <c r="K635">
        <v>1</v>
      </c>
      <c r="L635" t="s">
        <v>22</v>
      </c>
      <c r="M635" t="s">
        <v>32</v>
      </c>
      <c r="N635">
        <v>37</v>
      </c>
      <c r="O635" t="str" cm="1">
        <f t="array" ref="O635">_xlfn.IFS(N635&gt;=54,"old",N635&gt;=31,"middle age",N635&gt;=18,"adolsent",N635&lt;18,"invalid")</f>
        <v>middle age</v>
      </c>
      <c r="P635" t="s">
        <v>15</v>
      </c>
    </row>
    <row r="636" spans="3:16" x14ac:dyDescent="0.3">
      <c r="C636">
        <v>22296</v>
      </c>
      <c r="D636" t="s">
        <v>36</v>
      </c>
      <c r="E636" t="s">
        <v>38</v>
      </c>
      <c r="F636" s="3">
        <v>70000</v>
      </c>
      <c r="G636">
        <v>0</v>
      </c>
      <c r="H636" t="s">
        <v>13</v>
      </c>
      <c r="I636" t="s">
        <v>21</v>
      </c>
      <c r="J636" t="s">
        <v>18</v>
      </c>
      <c r="K636">
        <v>1</v>
      </c>
      <c r="L636" t="s">
        <v>16</v>
      </c>
      <c r="M636" t="s">
        <v>32</v>
      </c>
      <c r="N636">
        <v>38</v>
      </c>
      <c r="O636" t="str" cm="1">
        <f t="array" ref="O636">_xlfn.IFS(N636&gt;=54,"old",N636&gt;=31,"middle age",N636&gt;=18,"adolsent",N636&lt;18,"invalid")</f>
        <v>middle age</v>
      </c>
      <c r="P636" t="s">
        <v>18</v>
      </c>
    </row>
    <row r="637" spans="3:16" x14ac:dyDescent="0.3">
      <c r="C637">
        <v>22330</v>
      </c>
      <c r="D637" t="s">
        <v>36</v>
      </c>
      <c r="E637" t="s">
        <v>38</v>
      </c>
      <c r="F637" s="3">
        <v>50000</v>
      </c>
      <c r="G637">
        <v>0</v>
      </c>
      <c r="H637" t="s">
        <v>31</v>
      </c>
      <c r="I637" t="s">
        <v>14</v>
      </c>
      <c r="J637" t="s">
        <v>15</v>
      </c>
      <c r="K637">
        <v>0</v>
      </c>
      <c r="L637" t="s">
        <v>26</v>
      </c>
      <c r="M637" t="s">
        <v>32</v>
      </c>
      <c r="N637">
        <v>32</v>
      </c>
      <c r="O637" t="str" cm="1">
        <f t="array" ref="O637">_xlfn.IFS(N637&gt;=54,"old",N637&gt;=31,"middle age",N637&gt;=18,"adolsent",N637&lt;18,"invalid")</f>
        <v>middle age</v>
      </c>
      <c r="P637" t="s">
        <v>15</v>
      </c>
    </row>
    <row r="638" spans="3:16" x14ac:dyDescent="0.3">
      <c r="C638">
        <v>22381</v>
      </c>
      <c r="D638" t="s">
        <v>36</v>
      </c>
      <c r="E638" t="s">
        <v>38</v>
      </c>
      <c r="F638" s="3">
        <v>10000</v>
      </c>
      <c r="G638">
        <v>1</v>
      </c>
      <c r="H638" t="s">
        <v>31</v>
      </c>
      <c r="I638" t="s">
        <v>25</v>
      </c>
      <c r="J638" t="s">
        <v>15</v>
      </c>
      <c r="K638">
        <v>0</v>
      </c>
      <c r="L638" t="s">
        <v>16</v>
      </c>
      <c r="M638" t="s">
        <v>17</v>
      </c>
      <c r="N638">
        <v>44</v>
      </c>
      <c r="O638" t="str" cm="1">
        <f t="array" ref="O638">_xlfn.IFS(N638&gt;=54,"old",N638&gt;=31,"middle age",N638&gt;=18,"adolsent",N638&lt;18,"invalid")</f>
        <v>middle age</v>
      </c>
      <c r="P638" t="s">
        <v>18</v>
      </c>
    </row>
    <row r="639" spans="3:16" x14ac:dyDescent="0.3">
      <c r="C639">
        <v>22399</v>
      </c>
      <c r="D639" t="s">
        <v>37</v>
      </c>
      <c r="E639" t="s">
        <v>38</v>
      </c>
      <c r="F639" s="3">
        <v>10000</v>
      </c>
      <c r="G639">
        <v>0</v>
      </c>
      <c r="H639" t="s">
        <v>19</v>
      </c>
      <c r="I639" t="s">
        <v>25</v>
      </c>
      <c r="J639" t="s">
        <v>15</v>
      </c>
      <c r="K639">
        <v>1</v>
      </c>
      <c r="L639" t="s">
        <v>26</v>
      </c>
      <c r="M639" t="s">
        <v>24</v>
      </c>
      <c r="N639">
        <v>26</v>
      </c>
      <c r="O639" t="str" cm="1">
        <f t="array" ref="O639">_xlfn.IFS(N639&gt;=54,"old",N639&gt;=31,"middle age",N639&gt;=18,"adolsent",N639&lt;18,"invalid")</f>
        <v>adolsent</v>
      </c>
      <c r="P639" t="s">
        <v>15</v>
      </c>
    </row>
    <row r="640" spans="3:16" x14ac:dyDescent="0.3">
      <c r="C640">
        <v>22400</v>
      </c>
      <c r="D640" t="s">
        <v>36</v>
      </c>
      <c r="E640" t="s">
        <v>38</v>
      </c>
      <c r="F640" s="3">
        <v>10000</v>
      </c>
      <c r="G640">
        <v>0</v>
      </c>
      <c r="H640" t="s">
        <v>19</v>
      </c>
      <c r="I640" t="s">
        <v>25</v>
      </c>
      <c r="J640" t="s">
        <v>18</v>
      </c>
      <c r="K640">
        <v>1</v>
      </c>
      <c r="L640" t="s">
        <v>16</v>
      </c>
      <c r="M640" t="s">
        <v>24</v>
      </c>
      <c r="N640">
        <v>26</v>
      </c>
      <c r="O640" t="str" cm="1">
        <f t="array" ref="O640">_xlfn.IFS(N640&gt;=54,"old",N640&gt;=31,"middle age",N640&gt;=18,"adolsent",N640&lt;18,"invalid")</f>
        <v>adolsent</v>
      </c>
      <c r="P640" t="s">
        <v>15</v>
      </c>
    </row>
    <row r="641" spans="3:16" x14ac:dyDescent="0.3">
      <c r="C641">
        <v>22402</v>
      </c>
      <c r="D641" t="s">
        <v>36</v>
      </c>
      <c r="E641" t="s">
        <v>38</v>
      </c>
      <c r="F641" s="3">
        <v>10000</v>
      </c>
      <c r="G641">
        <v>0</v>
      </c>
      <c r="H641" t="s">
        <v>19</v>
      </c>
      <c r="I641" t="s">
        <v>25</v>
      </c>
      <c r="J641" t="s">
        <v>15</v>
      </c>
      <c r="K641">
        <v>1</v>
      </c>
      <c r="L641" t="s">
        <v>22</v>
      </c>
      <c r="M641" t="s">
        <v>24</v>
      </c>
      <c r="N641">
        <v>25</v>
      </c>
      <c r="O641" t="str" cm="1">
        <f t="array" ref="O641">_xlfn.IFS(N641&gt;=54,"old",N641&gt;=31,"middle age",N641&gt;=18,"adolsent",N641&lt;18,"invalid")</f>
        <v>adolsent</v>
      </c>
      <c r="P641" t="s">
        <v>15</v>
      </c>
    </row>
    <row r="642" spans="3:16" x14ac:dyDescent="0.3">
      <c r="C642">
        <v>22439</v>
      </c>
      <c r="D642" t="s">
        <v>36</v>
      </c>
      <c r="E642" t="s">
        <v>39</v>
      </c>
      <c r="F642" s="3">
        <v>30000</v>
      </c>
      <c r="G642">
        <v>0</v>
      </c>
      <c r="H642" t="s">
        <v>13</v>
      </c>
      <c r="I642" t="s">
        <v>20</v>
      </c>
      <c r="J642" t="s">
        <v>15</v>
      </c>
      <c r="K642">
        <v>0</v>
      </c>
      <c r="L642" t="s">
        <v>16</v>
      </c>
      <c r="M642" t="s">
        <v>17</v>
      </c>
      <c r="N642">
        <v>37</v>
      </c>
      <c r="O642" t="str" cm="1">
        <f t="array" ref="O642">_xlfn.IFS(N642&gt;=54,"old",N642&gt;=31,"middle age",N642&gt;=18,"adolsent",N642&lt;18,"invalid")</f>
        <v>middle age</v>
      </c>
      <c r="P642" t="s">
        <v>15</v>
      </c>
    </row>
    <row r="643" spans="3:16" x14ac:dyDescent="0.3">
      <c r="C643">
        <v>22464</v>
      </c>
      <c r="D643" t="s">
        <v>36</v>
      </c>
      <c r="E643" t="s">
        <v>38</v>
      </c>
      <c r="F643" s="3">
        <v>40000</v>
      </c>
      <c r="G643">
        <v>0</v>
      </c>
      <c r="H643" t="s">
        <v>31</v>
      </c>
      <c r="I643" t="s">
        <v>20</v>
      </c>
      <c r="J643" t="s">
        <v>15</v>
      </c>
      <c r="K643">
        <v>0</v>
      </c>
      <c r="L643" t="s">
        <v>16</v>
      </c>
      <c r="M643" t="s">
        <v>17</v>
      </c>
      <c r="N643">
        <v>37</v>
      </c>
      <c r="O643" t="str" cm="1">
        <f t="array" ref="O643">_xlfn.IFS(N643&gt;=54,"old",N643&gt;=31,"middle age",N643&gt;=18,"adolsent",N643&lt;18,"invalid")</f>
        <v>middle age</v>
      </c>
      <c r="P643" t="s">
        <v>15</v>
      </c>
    </row>
    <row r="644" spans="3:16" x14ac:dyDescent="0.3">
      <c r="C644">
        <v>22496</v>
      </c>
      <c r="D644" t="s">
        <v>36</v>
      </c>
      <c r="E644" t="s">
        <v>39</v>
      </c>
      <c r="F644" s="3">
        <v>30000</v>
      </c>
      <c r="G644">
        <v>1</v>
      </c>
      <c r="H644" t="s">
        <v>13</v>
      </c>
      <c r="I644" t="s">
        <v>14</v>
      </c>
      <c r="J644" t="s">
        <v>15</v>
      </c>
      <c r="K644">
        <v>2</v>
      </c>
      <c r="L644" t="s">
        <v>16</v>
      </c>
      <c r="M644" t="s">
        <v>17</v>
      </c>
      <c r="N644">
        <v>42</v>
      </c>
      <c r="O644" t="str" cm="1">
        <f t="array" ref="O644">_xlfn.IFS(N644&gt;=54,"old",N644&gt;=31,"middle age",N644&gt;=18,"adolsent",N644&lt;18,"invalid")</f>
        <v>middle age</v>
      </c>
      <c r="P644" t="s">
        <v>18</v>
      </c>
    </row>
    <row r="645" spans="3:16" x14ac:dyDescent="0.3">
      <c r="C645">
        <v>22500</v>
      </c>
      <c r="D645" t="s">
        <v>37</v>
      </c>
      <c r="E645" t="s">
        <v>38</v>
      </c>
      <c r="F645" s="3">
        <v>40000</v>
      </c>
      <c r="G645">
        <v>0</v>
      </c>
      <c r="H645" t="s">
        <v>13</v>
      </c>
      <c r="I645" t="s">
        <v>21</v>
      </c>
      <c r="J645" t="s">
        <v>18</v>
      </c>
      <c r="K645">
        <v>0</v>
      </c>
      <c r="L645" t="s">
        <v>16</v>
      </c>
      <c r="M645" t="s">
        <v>17</v>
      </c>
      <c r="N645">
        <v>40</v>
      </c>
      <c r="O645" t="str" cm="1">
        <f t="array" ref="O645">_xlfn.IFS(N645&gt;=54,"old",N645&gt;=31,"middle age",N645&gt;=18,"adolsent",N645&lt;18,"invalid")</f>
        <v>middle age</v>
      </c>
      <c r="P645" t="s">
        <v>15</v>
      </c>
    </row>
    <row r="646" spans="3:16" x14ac:dyDescent="0.3">
      <c r="C646">
        <v>22518</v>
      </c>
      <c r="D646" t="s">
        <v>37</v>
      </c>
      <c r="E646" t="s">
        <v>39</v>
      </c>
      <c r="F646" s="3">
        <v>30000</v>
      </c>
      <c r="G646">
        <v>3</v>
      </c>
      <c r="H646" t="s">
        <v>19</v>
      </c>
      <c r="I646" t="s">
        <v>20</v>
      </c>
      <c r="J646" t="s">
        <v>18</v>
      </c>
      <c r="K646">
        <v>2</v>
      </c>
      <c r="L646" t="s">
        <v>16</v>
      </c>
      <c r="M646" t="s">
        <v>17</v>
      </c>
      <c r="N646">
        <v>27</v>
      </c>
      <c r="O646" t="str" cm="1">
        <f t="array" ref="O646">_xlfn.IFS(N646&gt;=54,"old",N646&gt;=31,"middle age",N646&gt;=18,"adolsent",N646&lt;18,"invalid")</f>
        <v>adolsent</v>
      </c>
      <c r="P646" t="s">
        <v>15</v>
      </c>
    </row>
    <row r="647" spans="3:16" x14ac:dyDescent="0.3">
      <c r="C647">
        <v>22527</v>
      </c>
      <c r="D647" t="s">
        <v>37</v>
      </c>
      <c r="E647" t="s">
        <v>39</v>
      </c>
      <c r="F647" s="3">
        <v>20000</v>
      </c>
      <c r="G647">
        <v>0</v>
      </c>
      <c r="H647" t="s">
        <v>27</v>
      </c>
      <c r="I647" t="s">
        <v>25</v>
      </c>
      <c r="J647" t="s">
        <v>18</v>
      </c>
      <c r="K647">
        <v>1</v>
      </c>
      <c r="L647" t="s">
        <v>22</v>
      </c>
      <c r="M647" t="s">
        <v>17</v>
      </c>
      <c r="N647">
        <v>29</v>
      </c>
      <c r="O647" t="str" cm="1">
        <f t="array" ref="O647">_xlfn.IFS(N647&gt;=54,"old",N647&gt;=31,"middle age",N647&gt;=18,"adolsent",N647&lt;18,"invalid")</f>
        <v>adolsent</v>
      </c>
      <c r="P647" t="s">
        <v>18</v>
      </c>
    </row>
    <row r="648" spans="3:16" x14ac:dyDescent="0.3">
      <c r="C648">
        <v>22538</v>
      </c>
      <c r="D648" t="s">
        <v>37</v>
      </c>
      <c r="E648" t="s">
        <v>39</v>
      </c>
      <c r="F648" s="3">
        <v>10000</v>
      </c>
      <c r="G648">
        <v>0</v>
      </c>
      <c r="H648" t="s">
        <v>29</v>
      </c>
      <c r="I648" t="s">
        <v>25</v>
      </c>
      <c r="J648" t="s">
        <v>15</v>
      </c>
      <c r="K648">
        <v>2</v>
      </c>
      <c r="L648" t="s">
        <v>26</v>
      </c>
      <c r="M648" t="s">
        <v>17</v>
      </c>
      <c r="N648">
        <v>33</v>
      </c>
      <c r="O648" t="str" cm="1">
        <f t="array" ref="O648">_xlfn.IFS(N648&gt;=54,"old",N648&gt;=31,"middle age",N648&gt;=18,"adolsent",N648&lt;18,"invalid")</f>
        <v>middle age</v>
      </c>
      <c r="P648" t="s">
        <v>18</v>
      </c>
    </row>
    <row r="649" spans="3:16" x14ac:dyDescent="0.3">
      <c r="C649">
        <v>22610</v>
      </c>
      <c r="D649" t="s">
        <v>36</v>
      </c>
      <c r="E649" t="s">
        <v>38</v>
      </c>
      <c r="F649" s="3">
        <v>30000</v>
      </c>
      <c r="G649">
        <v>0</v>
      </c>
      <c r="H649" t="s">
        <v>13</v>
      </c>
      <c r="I649" t="s">
        <v>20</v>
      </c>
      <c r="J649" t="s">
        <v>15</v>
      </c>
      <c r="K649">
        <v>0</v>
      </c>
      <c r="L649" t="s">
        <v>16</v>
      </c>
      <c r="M649" t="s">
        <v>17</v>
      </c>
      <c r="N649">
        <v>35</v>
      </c>
      <c r="O649" t="str" cm="1">
        <f t="array" ref="O649">_xlfn.IFS(N649&gt;=54,"old",N649&gt;=31,"middle age",N649&gt;=18,"adolsent",N649&lt;18,"invalid")</f>
        <v>middle age</v>
      </c>
      <c r="P649" t="s">
        <v>15</v>
      </c>
    </row>
    <row r="650" spans="3:16" x14ac:dyDescent="0.3">
      <c r="C650">
        <v>22633</v>
      </c>
      <c r="D650" t="s">
        <v>37</v>
      </c>
      <c r="E650" t="s">
        <v>39</v>
      </c>
      <c r="F650" s="3">
        <v>40000</v>
      </c>
      <c r="G650">
        <v>0</v>
      </c>
      <c r="H650" t="s">
        <v>31</v>
      </c>
      <c r="I650" t="s">
        <v>20</v>
      </c>
      <c r="J650" t="s">
        <v>15</v>
      </c>
      <c r="K650">
        <v>0</v>
      </c>
      <c r="L650" t="s">
        <v>16</v>
      </c>
      <c r="M650" t="s">
        <v>17</v>
      </c>
      <c r="N650">
        <v>37</v>
      </c>
      <c r="O650" t="str" cm="1">
        <f t="array" ref="O650">_xlfn.IFS(N650&gt;=54,"old",N650&gt;=31,"middle age",N650&gt;=18,"adolsent",N650&lt;18,"invalid")</f>
        <v>middle age</v>
      </c>
      <c r="P650" t="s">
        <v>15</v>
      </c>
    </row>
    <row r="651" spans="3:16" x14ac:dyDescent="0.3">
      <c r="C651">
        <v>22634</v>
      </c>
      <c r="D651" t="s">
        <v>37</v>
      </c>
      <c r="E651" t="s">
        <v>39</v>
      </c>
      <c r="F651" s="3">
        <v>40000</v>
      </c>
      <c r="G651">
        <v>0</v>
      </c>
      <c r="H651" t="s">
        <v>31</v>
      </c>
      <c r="I651" t="s">
        <v>20</v>
      </c>
      <c r="J651" t="s">
        <v>15</v>
      </c>
      <c r="K651">
        <v>0</v>
      </c>
      <c r="L651" t="s">
        <v>16</v>
      </c>
      <c r="M651" t="s">
        <v>17</v>
      </c>
      <c r="N651">
        <v>38</v>
      </c>
      <c r="O651" t="str" cm="1">
        <f t="array" ref="O651">_xlfn.IFS(N651&gt;=54,"old",N651&gt;=31,"middle age",N651&gt;=18,"adolsent",N651&lt;18,"invalid")</f>
        <v>middle age</v>
      </c>
      <c r="P651" t="s">
        <v>15</v>
      </c>
    </row>
    <row r="652" spans="3:16" x14ac:dyDescent="0.3">
      <c r="C652">
        <v>22636</v>
      </c>
      <c r="D652" t="s">
        <v>37</v>
      </c>
      <c r="E652" t="s">
        <v>39</v>
      </c>
      <c r="F652" s="3">
        <v>40000</v>
      </c>
      <c r="G652">
        <v>0</v>
      </c>
      <c r="H652" t="s">
        <v>13</v>
      </c>
      <c r="I652" t="s">
        <v>20</v>
      </c>
      <c r="J652" t="s">
        <v>18</v>
      </c>
      <c r="K652">
        <v>0</v>
      </c>
      <c r="L652" t="s">
        <v>16</v>
      </c>
      <c r="M652" t="s">
        <v>17</v>
      </c>
      <c r="N652">
        <v>38</v>
      </c>
      <c r="O652" t="str" cm="1">
        <f t="array" ref="O652">_xlfn.IFS(N652&gt;=54,"old",N652&gt;=31,"middle age",N652&gt;=18,"adolsent",N652&lt;18,"invalid")</f>
        <v>middle age</v>
      </c>
      <c r="P652" t="s">
        <v>15</v>
      </c>
    </row>
    <row r="653" spans="3:16" x14ac:dyDescent="0.3">
      <c r="C653">
        <v>22672</v>
      </c>
      <c r="D653" t="s">
        <v>37</v>
      </c>
      <c r="E653" t="s">
        <v>39</v>
      </c>
      <c r="F653" s="3">
        <v>30000</v>
      </c>
      <c r="G653">
        <v>2</v>
      </c>
      <c r="H653" t="s">
        <v>19</v>
      </c>
      <c r="I653" t="s">
        <v>20</v>
      </c>
      <c r="J653" t="s">
        <v>15</v>
      </c>
      <c r="K653">
        <v>0</v>
      </c>
      <c r="L653" t="s">
        <v>16</v>
      </c>
      <c r="M653" t="s">
        <v>17</v>
      </c>
      <c r="N653">
        <v>43</v>
      </c>
      <c r="O653" t="str" cm="1">
        <f t="array" ref="O653">_xlfn.IFS(N653&gt;=54,"old",N653&gt;=31,"middle age",N653&gt;=18,"adolsent",N653&lt;18,"invalid")</f>
        <v>middle age</v>
      </c>
      <c r="P653" t="s">
        <v>18</v>
      </c>
    </row>
    <row r="654" spans="3:16" x14ac:dyDescent="0.3">
      <c r="C654">
        <v>22707</v>
      </c>
      <c r="D654" t="s">
        <v>37</v>
      </c>
      <c r="E654" t="s">
        <v>39</v>
      </c>
      <c r="F654" s="3">
        <v>30000</v>
      </c>
      <c r="G654">
        <v>0</v>
      </c>
      <c r="H654" t="s">
        <v>19</v>
      </c>
      <c r="I654" t="s">
        <v>20</v>
      </c>
      <c r="J654" t="s">
        <v>18</v>
      </c>
      <c r="K654">
        <v>1</v>
      </c>
      <c r="L654" t="s">
        <v>22</v>
      </c>
      <c r="M654" t="s">
        <v>17</v>
      </c>
      <c r="N654">
        <v>30</v>
      </c>
      <c r="O654" t="str" cm="1">
        <f t="array" ref="O654">_xlfn.IFS(N654&gt;=54,"old",N654&gt;=31,"middle age",N654&gt;=18,"adolsent",N654&lt;18,"invalid")</f>
        <v>adolsent</v>
      </c>
      <c r="P654" t="s">
        <v>18</v>
      </c>
    </row>
    <row r="655" spans="3:16" x14ac:dyDescent="0.3">
      <c r="C655">
        <v>22719</v>
      </c>
      <c r="D655" t="s">
        <v>37</v>
      </c>
      <c r="E655" t="s">
        <v>38</v>
      </c>
      <c r="F655" s="3">
        <v>110000</v>
      </c>
      <c r="G655">
        <v>3</v>
      </c>
      <c r="H655" t="s">
        <v>13</v>
      </c>
      <c r="I655" t="s">
        <v>28</v>
      </c>
      <c r="J655" t="s">
        <v>15</v>
      </c>
      <c r="K655">
        <v>4</v>
      </c>
      <c r="L655" t="s">
        <v>22</v>
      </c>
      <c r="M655" t="s">
        <v>32</v>
      </c>
      <c r="N655">
        <v>40</v>
      </c>
      <c r="O655" t="str" cm="1">
        <f t="array" ref="O655">_xlfn.IFS(N655&gt;=54,"old",N655&gt;=31,"middle age",N655&gt;=18,"adolsent",N655&lt;18,"invalid")</f>
        <v>middle age</v>
      </c>
      <c r="P655" t="s">
        <v>15</v>
      </c>
    </row>
    <row r="656" spans="3:16" x14ac:dyDescent="0.3">
      <c r="C656">
        <v>22730</v>
      </c>
      <c r="D656" t="s">
        <v>36</v>
      </c>
      <c r="E656" t="s">
        <v>38</v>
      </c>
      <c r="F656" s="3">
        <v>70000</v>
      </c>
      <c r="G656">
        <v>5</v>
      </c>
      <c r="H656" t="s">
        <v>13</v>
      </c>
      <c r="I656" t="s">
        <v>28</v>
      </c>
      <c r="J656" t="s">
        <v>15</v>
      </c>
      <c r="K656">
        <v>2</v>
      </c>
      <c r="L656" t="s">
        <v>30</v>
      </c>
      <c r="M656" t="s">
        <v>32</v>
      </c>
      <c r="N656">
        <v>63</v>
      </c>
      <c r="O656" t="str" cm="1">
        <f t="array" ref="O656">_xlfn.IFS(N656&gt;=54,"old",N656&gt;=31,"middle age",N656&gt;=18,"adolsent",N656&lt;18,"invalid")</f>
        <v>old</v>
      </c>
      <c r="P656" t="s">
        <v>18</v>
      </c>
    </row>
    <row r="657" spans="3:16" x14ac:dyDescent="0.3">
      <c r="C657">
        <v>22743</v>
      </c>
      <c r="D657" t="s">
        <v>36</v>
      </c>
      <c r="E657" t="s">
        <v>39</v>
      </c>
      <c r="F657" s="3">
        <v>40000</v>
      </c>
      <c r="G657">
        <v>5</v>
      </c>
      <c r="H657" t="s">
        <v>27</v>
      </c>
      <c r="I657" t="s">
        <v>21</v>
      </c>
      <c r="J657" t="s">
        <v>15</v>
      </c>
      <c r="K657">
        <v>2</v>
      </c>
      <c r="L657" t="s">
        <v>30</v>
      </c>
      <c r="M657" t="s">
        <v>32</v>
      </c>
      <c r="N657">
        <v>60</v>
      </c>
      <c r="O657" t="str" cm="1">
        <f t="array" ref="O657">_xlfn.IFS(N657&gt;=54,"old",N657&gt;=31,"middle age",N657&gt;=18,"adolsent",N657&lt;18,"invalid")</f>
        <v>old</v>
      </c>
      <c r="P657" t="s">
        <v>18</v>
      </c>
    </row>
    <row r="658" spans="3:16" x14ac:dyDescent="0.3">
      <c r="C658">
        <v>22821</v>
      </c>
      <c r="D658" t="s">
        <v>36</v>
      </c>
      <c r="E658" t="s">
        <v>39</v>
      </c>
      <c r="F658" s="3">
        <v>130000</v>
      </c>
      <c r="G658">
        <v>3</v>
      </c>
      <c r="H658" t="s">
        <v>19</v>
      </c>
      <c r="I658" t="s">
        <v>21</v>
      </c>
      <c r="J658" t="s">
        <v>15</v>
      </c>
      <c r="K658">
        <v>4</v>
      </c>
      <c r="L658" t="s">
        <v>16</v>
      </c>
      <c r="M658" t="s">
        <v>17</v>
      </c>
      <c r="N658">
        <v>52</v>
      </c>
      <c r="O658" t="str" cm="1">
        <f t="array" ref="O658">_xlfn.IFS(N658&gt;=54,"old",N658&gt;=31,"middle age",N658&gt;=18,"adolsent",N658&lt;18,"invalid")</f>
        <v>middle age</v>
      </c>
      <c r="P658" t="s">
        <v>18</v>
      </c>
    </row>
    <row r="659" spans="3:16" x14ac:dyDescent="0.3">
      <c r="C659">
        <v>22830</v>
      </c>
      <c r="D659" t="s">
        <v>36</v>
      </c>
      <c r="E659" t="s">
        <v>38</v>
      </c>
      <c r="F659" s="3">
        <v>120000</v>
      </c>
      <c r="G659">
        <v>4</v>
      </c>
      <c r="H659" t="s">
        <v>19</v>
      </c>
      <c r="I659" t="s">
        <v>28</v>
      </c>
      <c r="J659" t="s">
        <v>15</v>
      </c>
      <c r="K659">
        <v>3</v>
      </c>
      <c r="L659" t="s">
        <v>30</v>
      </c>
      <c r="M659" t="s">
        <v>17</v>
      </c>
      <c r="N659">
        <v>56</v>
      </c>
      <c r="O659" t="str" cm="1">
        <f t="array" ref="O659">_xlfn.IFS(N659&gt;=54,"old",N659&gt;=31,"middle age",N659&gt;=18,"adolsent",N659&lt;18,"invalid")</f>
        <v>old</v>
      </c>
      <c r="P659" t="s">
        <v>18</v>
      </c>
    </row>
    <row r="660" spans="3:16" x14ac:dyDescent="0.3">
      <c r="C660">
        <v>22864</v>
      </c>
      <c r="D660" t="s">
        <v>36</v>
      </c>
      <c r="E660" t="s">
        <v>38</v>
      </c>
      <c r="F660" s="3">
        <v>90000</v>
      </c>
      <c r="G660">
        <v>2</v>
      </c>
      <c r="H660" t="s">
        <v>19</v>
      </c>
      <c r="I660" t="s">
        <v>21</v>
      </c>
      <c r="J660" t="s">
        <v>18</v>
      </c>
      <c r="K660">
        <v>0</v>
      </c>
      <c r="L660" t="s">
        <v>23</v>
      </c>
      <c r="M660" t="s">
        <v>32</v>
      </c>
      <c r="N660">
        <v>49</v>
      </c>
      <c r="O660" t="str" cm="1">
        <f t="array" ref="O660">_xlfn.IFS(N660&gt;=54,"old",N660&gt;=31,"middle age",N660&gt;=18,"adolsent",N660&lt;18,"invalid")</f>
        <v>middle age</v>
      </c>
      <c r="P660" t="s">
        <v>15</v>
      </c>
    </row>
    <row r="661" spans="3:16" x14ac:dyDescent="0.3">
      <c r="C661">
        <v>22918</v>
      </c>
      <c r="D661" t="s">
        <v>37</v>
      </c>
      <c r="E661" t="s">
        <v>38</v>
      </c>
      <c r="F661" s="3">
        <v>80000</v>
      </c>
      <c r="G661">
        <v>5</v>
      </c>
      <c r="H661" t="s">
        <v>31</v>
      </c>
      <c r="I661" t="s">
        <v>28</v>
      </c>
      <c r="J661" t="s">
        <v>15</v>
      </c>
      <c r="K661">
        <v>3</v>
      </c>
      <c r="L661" t="s">
        <v>16</v>
      </c>
      <c r="M661" t="s">
        <v>24</v>
      </c>
      <c r="N661">
        <v>50</v>
      </c>
      <c r="O661" t="str" cm="1">
        <f t="array" ref="O661">_xlfn.IFS(N661&gt;=54,"old",N661&gt;=31,"middle age",N661&gt;=18,"adolsent",N661&lt;18,"invalid")</f>
        <v>middle age</v>
      </c>
      <c r="P661" t="s">
        <v>18</v>
      </c>
    </row>
    <row r="662" spans="3:16" x14ac:dyDescent="0.3">
      <c r="C662">
        <v>22930</v>
      </c>
      <c r="D662" t="s">
        <v>36</v>
      </c>
      <c r="E662" t="s">
        <v>38</v>
      </c>
      <c r="F662" s="3">
        <v>90000</v>
      </c>
      <c r="G662">
        <v>4</v>
      </c>
      <c r="H662" t="s">
        <v>13</v>
      </c>
      <c r="I662" t="s">
        <v>21</v>
      </c>
      <c r="J662" t="s">
        <v>15</v>
      </c>
      <c r="K662">
        <v>0</v>
      </c>
      <c r="L662" t="s">
        <v>26</v>
      </c>
      <c r="M662" t="s">
        <v>24</v>
      </c>
      <c r="N662">
        <v>38</v>
      </c>
      <c r="O662" t="str" cm="1">
        <f t="array" ref="O662">_xlfn.IFS(N662&gt;=54,"old",N662&gt;=31,"middle age",N662&gt;=18,"adolsent",N662&lt;18,"invalid")</f>
        <v>middle age</v>
      </c>
      <c r="P662" t="s">
        <v>15</v>
      </c>
    </row>
    <row r="663" spans="3:16" x14ac:dyDescent="0.3">
      <c r="C663">
        <v>22931</v>
      </c>
      <c r="D663" t="s">
        <v>36</v>
      </c>
      <c r="E663" t="s">
        <v>38</v>
      </c>
      <c r="F663" s="3">
        <v>100000</v>
      </c>
      <c r="G663">
        <v>5</v>
      </c>
      <c r="H663" t="s">
        <v>31</v>
      </c>
      <c r="I663" t="s">
        <v>28</v>
      </c>
      <c r="J663" t="s">
        <v>18</v>
      </c>
      <c r="K663">
        <v>1</v>
      </c>
      <c r="L663" t="s">
        <v>26</v>
      </c>
      <c r="M663" t="s">
        <v>24</v>
      </c>
      <c r="N663">
        <v>78</v>
      </c>
      <c r="O663" t="str" cm="1">
        <f t="array" ref="O663">_xlfn.IFS(N663&gt;=54,"old",N663&gt;=31,"middle age",N663&gt;=18,"adolsent",N663&lt;18,"invalid")</f>
        <v>old</v>
      </c>
      <c r="P663" t="s">
        <v>15</v>
      </c>
    </row>
    <row r="664" spans="3:16" x14ac:dyDescent="0.3">
      <c r="C664">
        <v>22936</v>
      </c>
      <c r="D664" t="s">
        <v>37</v>
      </c>
      <c r="E664" t="s">
        <v>39</v>
      </c>
      <c r="F664" s="3">
        <v>60000</v>
      </c>
      <c r="G664">
        <v>1</v>
      </c>
      <c r="H664" t="s">
        <v>19</v>
      </c>
      <c r="I664" t="s">
        <v>14</v>
      </c>
      <c r="J664" t="s">
        <v>18</v>
      </c>
      <c r="K664">
        <v>1</v>
      </c>
      <c r="L664" t="s">
        <v>16</v>
      </c>
      <c r="M664" t="s">
        <v>24</v>
      </c>
      <c r="N664">
        <v>45</v>
      </c>
      <c r="O664" t="str" cm="1">
        <f t="array" ref="O664">_xlfn.IFS(N664&gt;=54,"old",N664&gt;=31,"middle age",N664&gt;=18,"adolsent",N664&lt;18,"invalid")</f>
        <v>middle age</v>
      </c>
      <c r="P664" t="s">
        <v>15</v>
      </c>
    </row>
    <row r="665" spans="3:16" x14ac:dyDescent="0.3">
      <c r="C665">
        <v>22971</v>
      </c>
      <c r="D665" t="s">
        <v>37</v>
      </c>
      <c r="E665" t="s">
        <v>39</v>
      </c>
      <c r="F665" s="3">
        <v>30000</v>
      </c>
      <c r="G665">
        <v>0</v>
      </c>
      <c r="H665" t="s">
        <v>27</v>
      </c>
      <c r="I665" t="s">
        <v>14</v>
      </c>
      <c r="J665" t="s">
        <v>18</v>
      </c>
      <c r="K665">
        <v>2</v>
      </c>
      <c r="L665" t="s">
        <v>16</v>
      </c>
      <c r="M665" t="s">
        <v>32</v>
      </c>
      <c r="N665">
        <v>25</v>
      </c>
      <c r="O665" t="str" cm="1">
        <f t="array" ref="O665">_xlfn.IFS(N665&gt;=54,"old",N665&gt;=31,"middle age",N665&gt;=18,"adolsent",N665&lt;18,"invalid")</f>
        <v>adolsent</v>
      </c>
      <c r="P665" t="s">
        <v>15</v>
      </c>
    </row>
    <row r="666" spans="3:16" x14ac:dyDescent="0.3">
      <c r="C666">
        <v>22974</v>
      </c>
      <c r="D666" t="s">
        <v>36</v>
      </c>
      <c r="E666" t="s">
        <v>39</v>
      </c>
      <c r="F666" s="3">
        <v>30000</v>
      </c>
      <c r="G666">
        <v>2</v>
      </c>
      <c r="H666" t="s">
        <v>19</v>
      </c>
      <c r="I666" t="s">
        <v>20</v>
      </c>
      <c r="J666" t="s">
        <v>15</v>
      </c>
      <c r="K666">
        <v>2</v>
      </c>
      <c r="L666" t="s">
        <v>23</v>
      </c>
      <c r="M666" t="s">
        <v>24</v>
      </c>
      <c r="N666">
        <v>69</v>
      </c>
      <c r="O666" t="str" cm="1">
        <f t="array" ref="O666">_xlfn.IFS(N666&gt;=54,"old",N666&gt;=31,"middle age",N666&gt;=18,"adolsent",N666&lt;18,"invalid")</f>
        <v>old</v>
      </c>
      <c r="P666" t="s">
        <v>18</v>
      </c>
    </row>
    <row r="667" spans="3:16" x14ac:dyDescent="0.3">
      <c r="C667">
        <v>22976</v>
      </c>
      <c r="D667" t="s">
        <v>37</v>
      </c>
      <c r="E667" t="s">
        <v>38</v>
      </c>
      <c r="F667" s="3">
        <v>40000</v>
      </c>
      <c r="G667">
        <v>0</v>
      </c>
      <c r="H667" t="s">
        <v>27</v>
      </c>
      <c r="I667" t="s">
        <v>14</v>
      </c>
      <c r="J667" t="s">
        <v>18</v>
      </c>
      <c r="K667">
        <v>2</v>
      </c>
      <c r="L667" t="s">
        <v>16</v>
      </c>
      <c r="M667" t="s">
        <v>32</v>
      </c>
      <c r="N667">
        <v>28</v>
      </c>
      <c r="O667" t="str" cm="1">
        <f t="array" ref="O667">_xlfn.IFS(N667&gt;=54,"old",N667&gt;=31,"middle age",N667&gt;=18,"adolsent",N667&lt;18,"invalid")</f>
        <v>adolsent</v>
      </c>
      <c r="P667" t="s">
        <v>15</v>
      </c>
    </row>
    <row r="668" spans="3:16" x14ac:dyDescent="0.3">
      <c r="C668">
        <v>22983</v>
      </c>
      <c r="D668" t="s">
        <v>37</v>
      </c>
      <c r="E668" t="s">
        <v>39</v>
      </c>
      <c r="F668" s="3">
        <v>30000</v>
      </c>
      <c r="G668">
        <v>0</v>
      </c>
      <c r="H668" t="s">
        <v>29</v>
      </c>
      <c r="I668" t="s">
        <v>20</v>
      </c>
      <c r="J668" t="s">
        <v>15</v>
      </c>
      <c r="K668">
        <v>2</v>
      </c>
      <c r="L668" t="s">
        <v>23</v>
      </c>
      <c r="M668" t="s">
        <v>32</v>
      </c>
      <c r="N668">
        <v>27</v>
      </c>
      <c r="O668" t="str" cm="1">
        <f t="array" ref="O668">_xlfn.IFS(N668&gt;=54,"old",N668&gt;=31,"middle age",N668&gt;=18,"adolsent",N668&lt;18,"invalid")</f>
        <v>adolsent</v>
      </c>
      <c r="P668" t="s">
        <v>18</v>
      </c>
    </row>
    <row r="669" spans="3:16" x14ac:dyDescent="0.3">
      <c r="C669">
        <v>22988</v>
      </c>
      <c r="D669" t="s">
        <v>36</v>
      </c>
      <c r="E669" t="s">
        <v>39</v>
      </c>
      <c r="F669" s="3">
        <v>40000</v>
      </c>
      <c r="G669">
        <v>2</v>
      </c>
      <c r="H669" t="s">
        <v>13</v>
      </c>
      <c r="I669" t="s">
        <v>28</v>
      </c>
      <c r="J669" t="s">
        <v>15</v>
      </c>
      <c r="K669">
        <v>2</v>
      </c>
      <c r="L669" t="s">
        <v>23</v>
      </c>
      <c r="M669" t="s">
        <v>24</v>
      </c>
      <c r="N669">
        <v>66</v>
      </c>
      <c r="O669" t="str" cm="1">
        <f t="array" ref="O669">_xlfn.IFS(N669&gt;=54,"old",N669&gt;=31,"middle age",N669&gt;=18,"adolsent",N669&lt;18,"invalid")</f>
        <v>old</v>
      </c>
      <c r="P669" t="s">
        <v>15</v>
      </c>
    </row>
    <row r="670" spans="3:16" x14ac:dyDescent="0.3">
      <c r="C670">
        <v>22994</v>
      </c>
      <c r="D670" t="s">
        <v>36</v>
      </c>
      <c r="E670" t="s">
        <v>39</v>
      </c>
      <c r="F670" s="3">
        <v>80000</v>
      </c>
      <c r="G670">
        <v>0</v>
      </c>
      <c r="H670" t="s">
        <v>13</v>
      </c>
      <c r="I670" t="s">
        <v>28</v>
      </c>
      <c r="J670" t="s">
        <v>15</v>
      </c>
      <c r="K670">
        <v>1</v>
      </c>
      <c r="L670" t="s">
        <v>26</v>
      </c>
      <c r="M670" t="s">
        <v>32</v>
      </c>
      <c r="N670">
        <v>34</v>
      </c>
      <c r="O670" t="str" cm="1">
        <f t="array" ref="O670">_xlfn.IFS(N670&gt;=54,"old",N670&gt;=31,"middle age",N670&gt;=18,"adolsent",N670&lt;18,"invalid")</f>
        <v>middle age</v>
      </c>
      <c r="P670" t="s">
        <v>15</v>
      </c>
    </row>
    <row r="671" spans="3:16" x14ac:dyDescent="0.3">
      <c r="C671">
        <v>23027</v>
      </c>
      <c r="D671" t="s">
        <v>37</v>
      </c>
      <c r="E671" t="s">
        <v>38</v>
      </c>
      <c r="F671" s="3">
        <v>130000</v>
      </c>
      <c r="G671">
        <v>1</v>
      </c>
      <c r="H671" t="s">
        <v>13</v>
      </c>
      <c r="I671" t="s">
        <v>28</v>
      </c>
      <c r="J671" t="s">
        <v>18</v>
      </c>
      <c r="K671">
        <v>4</v>
      </c>
      <c r="L671" t="s">
        <v>16</v>
      </c>
      <c r="M671" t="s">
        <v>32</v>
      </c>
      <c r="N671">
        <v>44</v>
      </c>
      <c r="O671" t="str" cm="1">
        <f t="array" ref="O671">_xlfn.IFS(N671&gt;=54,"old",N671&gt;=31,"middle age",N671&gt;=18,"adolsent",N671&lt;18,"invalid")</f>
        <v>middle age</v>
      </c>
      <c r="P671" t="s">
        <v>18</v>
      </c>
    </row>
    <row r="672" spans="3:16" x14ac:dyDescent="0.3">
      <c r="C672">
        <v>23041</v>
      </c>
      <c r="D672" t="s">
        <v>37</v>
      </c>
      <c r="E672" t="s">
        <v>39</v>
      </c>
      <c r="F672" s="3">
        <v>70000</v>
      </c>
      <c r="G672">
        <v>4</v>
      </c>
      <c r="H672" t="s">
        <v>27</v>
      </c>
      <c r="I672" t="s">
        <v>21</v>
      </c>
      <c r="J672" t="s">
        <v>15</v>
      </c>
      <c r="K672">
        <v>0</v>
      </c>
      <c r="L672" t="s">
        <v>23</v>
      </c>
      <c r="M672" t="s">
        <v>32</v>
      </c>
      <c r="N672">
        <v>50</v>
      </c>
      <c r="O672" t="str" cm="1">
        <f t="array" ref="O672">_xlfn.IFS(N672&gt;=54,"old",N672&gt;=31,"middle age",N672&gt;=18,"adolsent",N672&lt;18,"invalid")</f>
        <v>middle age</v>
      </c>
      <c r="P672" t="s">
        <v>15</v>
      </c>
    </row>
    <row r="673" spans="3:16" x14ac:dyDescent="0.3">
      <c r="C673">
        <v>23089</v>
      </c>
      <c r="D673" t="s">
        <v>36</v>
      </c>
      <c r="E673" t="s">
        <v>38</v>
      </c>
      <c r="F673" s="3">
        <v>40000</v>
      </c>
      <c r="G673">
        <v>0</v>
      </c>
      <c r="H673" t="s">
        <v>19</v>
      </c>
      <c r="I673" t="s">
        <v>14</v>
      </c>
      <c r="J673" t="s">
        <v>15</v>
      </c>
      <c r="K673">
        <v>1</v>
      </c>
      <c r="L673" t="s">
        <v>23</v>
      </c>
      <c r="M673" t="s">
        <v>32</v>
      </c>
      <c r="N673">
        <v>28</v>
      </c>
      <c r="O673" t="str" cm="1">
        <f t="array" ref="O673">_xlfn.IFS(N673&gt;=54,"old",N673&gt;=31,"middle age",N673&gt;=18,"adolsent",N673&lt;18,"invalid")</f>
        <v>adolsent</v>
      </c>
      <c r="P673" t="s">
        <v>18</v>
      </c>
    </row>
    <row r="674" spans="3:16" x14ac:dyDescent="0.3">
      <c r="C674">
        <v>23105</v>
      </c>
      <c r="D674" t="s">
        <v>37</v>
      </c>
      <c r="E674" t="s">
        <v>38</v>
      </c>
      <c r="F674" s="3">
        <v>40000</v>
      </c>
      <c r="G674">
        <v>3</v>
      </c>
      <c r="H674" t="s">
        <v>29</v>
      </c>
      <c r="I674" t="s">
        <v>20</v>
      </c>
      <c r="J674" t="s">
        <v>18</v>
      </c>
      <c r="K674">
        <v>2</v>
      </c>
      <c r="L674" t="s">
        <v>23</v>
      </c>
      <c r="M674" t="s">
        <v>24</v>
      </c>
      <c r="N674">
        <v>52</v>
      </c>
      <c r="O674" t="str" cm="1">
        <f t="array" ref="O674">_xlfn.IFS(N674&gt;=54,"old",N674&gt;=31,"middle age",N674&gt;=18,"adolsent",N674&lt;18,"invalid")</f>
        <v>middle age</v>
      </c>
      <c r="P674" t="s">
        <v>15</v>
      </c>
    </row>
    <row r="675" spans="3:16" x14ac:dyDescent="0.3">
      <c r="C675">
        <v>23144</v>
      </c>
      <c r="D675" t="s">
        <v>36</v>
      </c>
      <c r="E675" t="s">
        <v>38</v>
      </c>
      <c r="F675" s="3">
        <v>50000</v>
      </c>
      <c r="G675">
        <v>1</v>
      </c>
      <c r="H675" t="s">
        <v>13</v>
      </c>
      <c r="I675" t="s">
        <v>14</v>
      </c>
      <c r="J675" t="s">
        <v>15</v>
      </c>
      <c r="K675">
        <v>0</v>
      </c>
      <c r="L675" t="s">
        <v>16</v>
      </c>
      <c r="M675" t="s">
        <v>32</v>
      </c>
      <c r="N675">
        <v>34</v>
      </c>
      <c r="O675" t="str" cm="1">
        <f t="array" ref="O675">_xlfn.IFS(N675&gt;=54,"old",N675&gt;=31,"middle age",N675&gt;=18,"adolsent",N675&lt;18,"invalid")</f>
        <v>middle age</v>
      </c>
      <c r="P675" t="s">
        <v>15</v>
      </c>
    </row>
    <row r="676" spans="3:16" x14ac:dyDescent="0.3">
      <c r="C676">
        <v>23158</v>
      </c>
      <c r="D676" t="s">
        <v>36</v>
      </c>
      <c r="E676" t="s">
        <v>39</v>
      </c>
      <c r="F676" s="3">
        <v>60000</v>
      </c>
      <c r="G676">
        <v>1</v>
      </c>
      <c r="H676" t="s">
        <v>31</v>
      </c>
      <c r="I676" t="s">
        <v>21</v>
      </c>
      <c r="J676" t="s">
        <v>18</v>
      </c>
      <c r="K676">
        <v>0</v>
      </c>
      <c r="L676" t="s">
        <v>16</v>
      </c>
      <c r="M676" t="s">
        <v>32</v>
      </c>
      <c r="N676">
        <v>35</v>
      </c>
      <c r="O676" t="str" cm="1">
        <f t="array" ref="O676">_xlfn.IFS(N676&gt;=54,"old",N676&gt;=31,"middle age",N676&gt;=18,"adolsent",N676&lt;18,"invalid")</f>
        <v>middle age</v>
      </c>
      <c r="P676" t="s">
        <v>15</v>
      </c>
    </row>
    <row r="677" spans="3:16" x14ac:dyDescent="0.3">
      <c r="C677">
        <v>23195</v>
      </c>
      <c r="D677" t="s">
        <v>37</v>
      </c>
      <c r="E677" t="s">
        <v>38</v>
      </c>
      <c r="F677" s="3">
        <v>50000</v>
      </c>
      <c r="G677">
        <v>3</v>
      </c>
      <c r="H677" t="s">
        <v>13</v>
      </c>
      <c r="I677" t="s">
        <v>14</v>
      </c>
      <c r="J677" t="s">
        <v>15</v>
      </c>
      <c r="K677">
        <v>2</v>
      </c>
      <c r="L677" t="s">
        <v>22</v>
      </c>
      <c r="M677" t="s">
        <v>32</v>
      </c>
      <c r="N677">
        <v>41</v>
      </c>
      <c r="O677" t="str" cm="1">
        <f t="array" ref="O677">_xlfn.IFS(N677&gt;=54,"old",N677&gt;=31,"middle age",N677&gt;=18,"adolsent",N677&lt;18,"invalid")</f>
        <v>middle age</v>
      </c>
      <c r="P677" t="s">
        <v>15</v>
      </c>
    </row>
    <row r="678" spans="3:16" x14ac:dyDescent="0.3">
      <c r="C678">
        <v>23197</v>
      </c>
      <c r="D678" t="s">
        <v>36</v>
      </c>
      <c r="E678" t="s">
        <v>38</v>
      </c>
      <c r="F678" s="3">
        <v>50000</v>
      </c>
      <c r="G678">
        <v>3</v>
      </c>
      <c r="H678" t="s">
        <v>13</v>
      </c>
      <c r="I678" t="s">
        <v>14</v>
      </c>
      <c r="J678" t="s">
        <v>15</v>
      </c>
      <c r="K678">
        <v>2</v>
      </c>
      <c r="L678" t="s">
        <v>22</v>
      </c>
      <c r="M678" t="s">
        <v>32</v>
      </c>
      <c r="N678">
        <v>40</v>
      </c>
      <c r="O678" t="str" cm="1">
        <f t="array" ref="O678">_xlfn.IFS(N678&gt;=54,"old",N678&gt;=31,"middle age",N678&gt;=18,"adolsent",N678&lt;18,"invalid")</f>
        <v>middle age</v>
      </c>
      <c r="P678" t="s">
        <v>18</v>
      </c>
    </row>
    <row r="679" spans="3:16" x14ac:dyDescent="0.3">
      <c r="C679">
        <v>23200</v>
      </c>
      <c r="D679" t="s">
        <v>36</v>
      </c>
      <c r="E679" t="s">
        <v>39</v>
      </c>
      <c r="F679" s="3">
        <v>50000</v>
      </c>
      <c r="G679">
        <v>3</v>
      </c>
      <c r="H679" t="s">
        <v>13</v>
      </c>
      <c r="I679" t="s">
        <v>14</v>
      </c>
      <c r="J679" t="s">
        <v>15</v>
      </c>
      <c r="K679">
        <v>2</v>
      </c>
      <c r="L679" t="s">
        <v>16</v>
      </c>
      <c r="M679" t="s">
        <v>32</v>
      </c>
      <c r="N679">
        <v>41</v>
      </c>
      <c r="O679" t="str" cm="1">
        <f t="array" ref="O679">_xlfn.IFS(N679&gt;=54,"old",N679&gt;=31,"middle age",N679&gt;=18,"adolsent",N679&lt;18,"invalid")</f>
        <v>middle age</v>
      </c>
      <c r="P679" t="s">
        <v>18</v>
      </c>
    </row>
    <row r="680" spans="3:16" x14ac:dyDescent="0.3">
      <c r="C680">
        <v>23217</v>
      </c>
      <c r="D680" t="s">
        <v>37</v>
      </c>
      <c r="E680" t="s">
        <v>39</v>
      </c>
      <c r="F680" s="3">
        <v>60000</v>
      </c>
      <c r="G680">
        <v>3</v>
      </c>
      <c r="H680" t="s">
        <v>31</v>
      </c>
      <c r="I680" t="s">
        <v>21</v>
      </c>
      <c r="J680" t="s">
        <v>15</v>
      </c>
      <c r="K680">
        <v>0</v>
      </c>
      <c r="L680" t="s">
        <v>22</v>
      </c>
      <c r="M680" t="s">
        <v>32</v>
      </c>
      <c r="N680">
        <v>43</v>
      </c>
      <c r="O680" t="str" cm="1">
        <f t="array" ref="O680">_xlfn.IFS(N680&gt;=54,"old",N680&gt;=31,"middle age",N680&gt;=18,"adolsent",N680&lt;18,"invalid")</f>
        <v>middle age</v>
      </c>
      <c r="P680" t="s">
        <v>15</v>
      </c>
    </row>
    <row r="681" spans="3:16" x14ac:dyDescent="0.3">
      <c r="C681">
        <v>23248</v>
      </c>
      <c r="D681" t="s">
        <v>36</v>
      </c>
      <c r="E681" t="s">
        <v>39</v>
      </c>
      <c r="F681" s="3">
        <v>10000</v>
      </c>
      <c r="G681">
        <v>2</v>
      </c>
      <c r="H681" t="s">
        <v>27</v>
      </c>
      <c r="I681" t="s">
        <v>25</v>
      </c>
      <c r="J681" t="s">
        <v>15</v>
      </c>
      <c r="K681">
        <v>2</v>
      </c>
      <c r="L681" t="s">
        <v>26</v>
      </c>
      <c r="M681" t="s">
        <v>32</v>
      </c>
      <c r="N681">
        <v>53</v>
      </c>
      <c r="O681" t="str" cm="1">
        <f t="array" ref="O681">_xlfn.IFS(N681&gt;=54,"old",N681&gt;=31,"middle age",N681&gt;=18,"adolsent",N681&lt;18,"invalid")</f>
        <v>middle age</v>
      </c>
      <c r="P681" t="s">
        <v>18</v>
      </c>
    </row>
    <row r="682" spans="3:16" x14ac:dyDescent="0.3">
      <c r="C682">
        <v>23256</v>
      </c>
      <c r="D682" t="s">
        <v>37</v>
      </c>
      <c r="E682" t="s">
        <v>38</v>
      </c>
      <c r="F682" s="3">
        <v>30000</v>
      </c>
      <c r="G682">
        <v>1</v>
      </c>
      <c r="H682" t="s">
        <v>27</v>
      </c>
      <c r="I682" t="s">
        <v>20</v>
      </c>
      <c r="J682" t="s">
        <v>18</v>
      </c>
      <c r="K682">
        <v>1</v>
      </c>
      <c r="L682" t="s">
        <v>23</v>
      </c>
      <c r="M682" t="s">
        <v>32</v>
      </c>
      <c r="N682">
        <v>52</v>
      </c>
      <c r="O682" t="str" cm="1">
        <f t="array" ref="O682">_xlfn.IFS(N682&gt;=54,"old",N682&gt;=31,"middle age",N682&gt;=18,"adolsent",N682&lt;18,"invalid")</f>
        <v>middle age</v>
      </c>
      <c r="P682" t="s">
        <v>18</v>
      </c>
    </row>
    <row r="683" spans="3:16" x14ac:dyDescent="0.3">
      <c r="C683">
        <v>23275</v>
      </c>
      <c r="D683" t="s">
        <v>36</v>
      </c>
      <c r="E683" t="s">
        <v>38</v>
      </c>
      <c r="F683" s="3">
        <v>30000</v>
      </c>
      <c r="G683">
        <v>2</v>
      </c>
      <c r="H683" t="s">
        <v>27</v>
      </c>
      <c r="I683" t="s">
        <v>14</v>
      </c>
      <c r="J683" t="s">
        <v>15</v>
      </c>
      <c r="K683">
        <v>2</v>
      </c>
      <c r="L683" t="s">
        <v>26</v>
      </c>
      <c r="M683" t="s">
        <v>32</v>
      </c>
      <c r="N683">
        <v>49</v>
      </c>
      <c r="O683" t="str" cm="1">
        <f t="array" ref="O683">_xlfn.IFS(N683&gt;=54,"old",N683&gt;=31,"middle age",N683&gt;=18,"adolsent",N683&lt;18,"invalid")</f>
        <v>middle age</v>
      </c>
      <c r="P683" t="s">
        <v>18</v>
      </c>
    </row>
    <row r="684" spans="3:16" x14ac:dyDescent="0.3">
      <c r="C684">
        <v>23316</v>
      </c>
      <c r="D684" t="s">
        <v>37</v>
      </c>
      <c r="E684" t="s">
        <v>38</v>
      </c>
      <c r="F684" s="3">
        <v>30000</v>
      </c>
      <c r="G684">
        <v>3</v>
      </c>
      <c r="H684" t="s">
        <v>19</v>
      </c>
      <c r="I684" t="s">
        <v>20</v>
      </c>
      <c r="J684" t="s">
        <v>18</v>
      </c>
      <c r="K684">
        <v>2</v>
      </c>
      <c r="L684" t="s">
        <v>26</v>
      </c>
      <c r="M684" t="s">
        <v>24</v>
      </c>
      <c r="N684">
        <v>59</v>
      </c>
      <c r="O684" t="str" cm="1">
        <f t="array" ref="O684">_xlfn.IFS(N684&gt;=54,"old",N684&gt;=31,"middle age",N684&gt;=18,"adolsent",N684&lt;18,"invalid")</f>
        <v>old</v>
      </c>
      <c r="P684" t="s">
        <v>15</v>
      </c>
    </row>
    <row r="685" spans="3:16" x14ac:dyDescent="0.3">
      <c r="C685">
        <v>23333</v>
      </c>
      <c r="D685" t="s">
        <v>36</v>
      </c>
      <c r="E685" t="s">
        <v>38</v>
      </c>
      <c r="F685" s="3">
        <v>40000</v>
      </c>
      <c r="G685">
        <v>0</v>
      </c>
      <c r="H685" t="s">
        <v>19</v>
      </c>
      <c r="I685" t="s">
        <v>14</v>
      </c>
      <c r="J685" t="s">
        <v>18</v>
      </c>
      <c r="K685">
        <v>2</v>
      </c>
      <c r="L685" t="s">
        <v>26</v>
      </c>
      <c r="M685" t="s">
        <v>32</v>
      </c>
      <c r="N685">
        <v>30</v>
      </c>
      <c r="O685" t="str" cm="1">
        <f t="array" ref="O685">_xlfn.IFS(N685&gt;=54,"old",N685&gt;=31,"middle age",N685&gt;=18,"adolsent",N685&lt;18,"invalid")</f>
        <v>adolsent</v>
      </c>
      <c r="P685" t="s">
        <v>18</v>
      </c>
    </row>
    <row r="686" spans="3:16" x14ac:dyDescent="0.3">
      <c r="C686">
        <v>23358</v>
      </c>
      <c r="D686" t="s">
        <v>36</v>
      </c>
      <c r="E686" t="s">
        <v>38</v>
      </c>
      <c r="F686" s="3">
        <v>60000</v>
      </c>
      <c r="G686">
        <v>0</v>
      </c>
      <c r="H686" t="s">
        <v>27</v>
      </c>
      <c r="I686" t="s">
        <v>21</v>
      </c>
      <c r="J686" t="s">
        <v>15</v>
      </c>
      <c r="K686">
        <v>2</v>
      </c>
      <c r="L686" t="s">
        <v>23</v>
      </c>
      <c r="M686" t="s">
        <v>32</v>
      </c>
      <c r="N686">
        <v>32</v>
      </c>
      <c r="O686" t="str" cm="1">
        <f t="array" ref="O686">_xlfn.IFS(N686&gt;=54,"old",N686&gt;=31,"middle age",N686&gt;=18,"adolsent",N686&lt;18,"invalid")</f>
        <v>middle age</v>
      </c>
      <c r="P686" t="s">
        <v>15</v>
      </c>
    </row>
    <row r="687" spans="3:16" x14ac:dyDescent="0.3">
      <c r="C687">
        <v>23368</v>
      </c>
      <c r="D687" t="s">
        <v>36</v>
      </c>
      <c r="E687" t="s">
        <v>39</v>
      </c>
      <c r="F687" s="3">
        <v>60000</v>
      </c>
      <c r="G687">
        <v>5</v>
      </c>
      <c r="H687" t="s">
        <v>13</v>
      </c>
      <c r="I687" t="s">
        <v>14</v>
      </c>
      <c r="J687" t="s">
        <v>15</v>
      </c>
      <c r="K687">
        <v>3</v>
      </c>
      <c r="L687" t="s">
        <v>30</v>
      </c>
      <c r="M687" t="s">
        <v>32</v>
      </c>
      <c r="N687">
        <v>41</v>
      </c>
      <c r="O687" t="str" cm="1">
        <f t="array" ref="O687">_xlfn.IFS(N687&gt;=54,"old",N687&gt;=31,"middle age",N687&gt;=18,"adolsent",N687&lt;18,"invalid")</f>
        <v>middle age</v>
      </c>
      <c r="P687" t="s">
        <v>18</v>
      </c>
    </row>
    <row r="688" spans="3:16" x14ac:dyDescent="0.3">
      <c r="C688">
        <v>23376</v>
      </c>
      <c r="D688" t="s">
        <v>36</v>
      </c>
      <c r="E688" t="s">
        <v>38</v>
      </c>
      <c r="F688" s="3">
        <v>70000</v>
      </c>
      <c r="G688">
        <v>1</v>
      </c>
      <c r="H688" t="s">
        <v>13</v>
      </c>
      <c r="I688" t="s">
        <v>21</v>
      </c>
      <c r="J688" t="s">
        <v>15</v>
      </c>
      <c r="K688">
        <v>1</v>
      </c>
      <c r="L688" t="s">
        <v>22</v>
      </c>
      <c r="M688" t="s">
        <v>32</v>
      </c>
      <c r="N688">
        <v>44</v>
      </c>
      <c r="O688" t="str" cm="1">
        <f t="array" ref="O688">_xlfn.IFS(N688&gt;=54,"old",N688&gt;=31,"middle age",N688&gt;=18,"adolsent",N688&lt;18,"invalid")</f>
        <v>middle age</v>
      </c>
      <c r="P688" t="s">
        <v>15</v>
      </c>
    </row>
    <row r="689" spans="3:16" x14ac:dyDescent="0.3">
      <c r="C689">
        <v>23378</v>
      </c>
      <c r="D689" t="s">
        <v>36</v>
      </c>
      <c r="E689" t="s">
        <v>38</v>
      </c>
      <c r="F689" s="3">
        <v>70000</v>
      </c>
      <c r="G689">
        <v>1</v>
      </c>
      <c r="H689" t="s">
        <v>19</v>
      </c>
      <c r="I689" t="s">
        <v>14</v>
      </c>
      <c r="J689" t="s">
        <v>15</v>
      </c>
      <c r="K689">
        <v>1</v>
      </c>
      <c r="L689" t="s">
        <v>22</v>
      </c>
      <c r="M689" t="s">
        <v>32</v>
      </c>
      <c r="N689">
        <v>44</v>
      </c>
      <c r="O689" t="str" cm="1">
        <f t="array" ref="O689">_xlfn.IFS(N689&gt;=54,"old",N689&gt;=31,"middle age",N689&gt;=18,"adolsent",N689&lt;18,"invalid")</f>
        <v>middle age</v>
      </c>
      <c r="P689" t="s">
        <v>15</v>
      </c>
    </row>
    <row r="690" spans="3:16" x14ac:dyDescent="0.3">
      <c r="C690">
        <v>23419</v>
      </c>
      <c r="D690" t="s">
        <v>37</v>
      </c>
      <c r="E690" t="s">
        <v>39</v>
      </c>
      <c r="F690" s="3">
        <v>70000</v>
      </c>
      <c r="G690">
        <v>5</v>
      </c>
      <c r="H690" t="s">
        <v>13</v>
      </c>
      <c r="I690" t="s">
        <v>21</v>
      </c>
      <c r="J690" t="s">
        <v>15</v>
      </c>
      <c r="K690">
        <v>3</v>
      </c>
      <c r="L690" t="s">
        <v>30</v>
      </c>
      <c r="M690" t="s">
        <v>24</v>
      </c>
      <c r="N690">
        <v>39</v>
      </c>
      <c r="O690" t="str" cm="1">
        <f t="array" ref="O690">_xlfn.IFS(N690&gt;=54,"old",N690&gt;=31,"middle age",N690&gt;=18,"adolsent",N690&lt;18,"invalid")</f>
        <v>middle age</v>
      </c>
      <c r="P690" t="s">
        <v>18</v>
      </c>
    </row>
    <row r="691" spans="3:16" x14ac:dyDescent="0.3">
      <c r="C691">
        <v>23426</v>
      </c>
      <c r="D691" t="s">
        <v>37</v>
      </c>
      <c r="E691" t="s">
        <v>38</v>
      </c>
      <c r="F691" s="3">
        <v>80000</v>
      </c>
      <c r="G691">
        <v>5</v>
      </c>
      <c r="H691" t="s">
        <v>31</v>
      </c>
      <c r="I691" t="s">
        <v>28</v>
      </c>
      <c r="J691" t="s">
        <v>15</v>
      </c>
      <c r="K691">
        <v>3</v>
      </c>
      <c r="L691" t="s">
        <v>16</v>
      </c>
      <c r="M691" t="s">
        <v>24</v>
      </c>
      <c r="N691">
        <v>40</v>
      </c>
      <c r="O691" t="str" cm="1">
        <f t="array" ref="O691">_xlfn.IFS(N691&gt;=54,"old",N691&gt;=31,"middle age",N691&gt;=18,"adolsent",N691&lt;18,"invalid")</f>
        <v>middle age</v>
      </c>
      <c r="P691" t="s">
        <v>18</v>
      </c>
    </row>
    <row r="692" spans="3:16" x14ac:dyDescent="0.3">
      <c r="C692">
        <v>23432</v>
      </c>
      <c r="D692" t="s">
        <v>37</v>
      </c>
      <c r="E692" t="s">
        <v>38</v>
      </c>
      <c r="F692" s="3">
        <v>70000</v>
      </c>
      <c r="G692">
        <v>0</v>
      </c>
      <c r="H692" t="s">
        <v>13</v>
      </c>
      <c r="I692" t="s">
        <v>21</v>
      </c>
      <c r="J692" t="s">
        <v>15</v>
      </c>
      <c r="K692">
        <v>1</v>
      </c>
      <c r="L692" t="s">
        <v>23</v>
      </c>
      <c r="M692" t="s">
        <v>24</v>
      </c>
      <c r="N692">
        <v>37</v>
      </c>
      <c r="O692" t="str" cm="1">
        <f t="array" ref="O692">_xlfn.IFS(N692&gt;=54,"old",N692&gt;=31,"middle age",N692&gt;=18,"adolsent",N692&lt;18,"invalid")</f>
        <v>middle age</v>
      </c>
      <c r="P692" t="s">
        <v>15</v>
      </c>
    </row>
    <row r="693" spans="3:16" x14ac:dyDescent="0.3">
      <c r="C693">
        <v>23449</v>
      </c>
      <c r="D693" t="s">
        <v>36</v>
      </c>
      <c r="E693" t="s">
        <v>38</v>
      </c>
      <c r="F693" s="3">
        <v>60000</v>
      </c>
      <c r="G693">
        <v>2</v>
      </c>
      <c r="H693" t="s">
        <v>27</v>
      </c>
      <c r="I693" t="s">
        <v>21</v>
      </c>
      <c r="J693" t="s">
        <v>15</v>
      </c>
      <c r="K693">
        <v>2</v>
      </c>
      <c r="L693" t="s">
        <v>23</v>
      </c>
      <c r="M693" t="s">
        <v>32</v>
      </c>
      <c r="N693">
        <v>48</v>
      </c>
      <c r="O693" t="str" cm="1">
        <f t="array" ref="O693">_xlfn.IFS(N693&gt;=54,"old",N693&gt;=31,"middle age",N693&gt;=18,"adolsent",N693&lt;18,"invalid")</f>
        <v>middle age</v>
      </c>
      <c r="P693" t="s">
        <v>18</v>
      </c>
    </row>
    <row r="694" spans="3:16" x14ac:dyDescent="0.3">
      <c r="C694">
        <v>23455</v>
      </c>
      <c r="D694" t="s">
        <v>37</v>
      </c>
      <c r="E694" t="s">
        <v>38</v>
      </c>
      <c r="F694" s="3">
        <v>80000</v>
      </c>
      <c r="G694">
        <v>2</v>
      </c>
      <c r="H694" t="s">
        <v>29</v>
      </c>
      <c r="I694" t="s">
        <v>14</v>
      </c>
      <c r="J694" t="s">
        <v>18</v>
      </c>
      <c r="K694">
        <v>2</v>
      </c>
      <c r="L694" t="s">
        <v>26</v>
      </c>
      <c r="M694" t="s">
        <v>32</v>
      </c>
      <c r="N694">
        <v>50</v>
      </c>
      <c r="O694" t="str" cm="1">
        <f t="array" ref="O694">_xlfn.IFS(N694&gt;=54,"old",N694&gt;=31,"middle age",N694&gt;=18,"adolsent",N694&lt;18,"invalid")</f>
        <v>middle age</v>
      </c>
      <c r="P694" t="s">
        <v>18</v>
      </c>
    </row>
    <row r="695" spans="3:16" x14ac:dyDescent="0.3">
      <c r="C695">
        <v>23459</v>
      </c>
      <c r="D695" t="s">
        <v>36</v>
      </c>
      <c r="E695" t="s">
        <v>38</v>
      </c>
      <c r="F695" s="3">
        <v>60000</v>
      </c>
      <c r="G695">
        <v>2</v>
      </c>
      <c r="H695" t="s">
        <v>27</v>
      </c>
      <c r="I695" t="s">
        <v>21</v>
      </c>
      <c r="J695" t="s">
        <v>15</v>
      </c>
      <c r="K695">
        <v>2</v>
      </c>
      <c r="L695" t="s">
        <v>23</v>
      </c>
      <c r="M695" t="s">
        <v>32</v>
      </c>
      <c r="N695">
        <v>50</v>
      </c>
      <c r="O695" t="str" cm="1">
        <f t="array" ref="O695">_xlfn.IFS(N695&gt;=54,"old",N695&gt;=31,"middle age",N695&gt;=18,"adolsent",N695&lt;18,"invalid")</f>
        <v>middle age</v>
      </c>
      <c r="P695" t="s">
        <v>18</v>
      </c>
    </row>
    <row r="696" spans="3:16" x14ac:dyDescent="0.3">
      <c r="C696">
        <v>23461</v>
      </c>
      <c r="D696" t="s">
        <v>36</v>
      </c>
      <c r="E696" t="s">
        <v>39</v>
      </c>
      <c r="F696" s="3">
        <v>90000</v>
      </c>
      <c r="G696">
        <v>5</v>
      </c>
      <c r="H696" t="s">
        <v>19</v>
      </c>
      <c r="I696" t="s">
        <v>21</v>
      </c>
      <c r="J696" t="s">
        <v>15</v>
      </c>
      <c r="K696">
        <v>3</v>
      </c>
      <c r="L696" t="s">
        <v>22</v>
      </c>
      <c r="M696" t="s">
        <v>32</v>
      </c>
      <c r="N696">
        <v>40</v>
      </c>
      <c r="O696" t="str" cm="1">
        <f t="array" ref="O696">_xlfn.IFS(N696&gt;=54,"old",N696&gt;=31,"middle age",N696&gt;=18,"adolsent",N696&lt;18,"invalid")</f>
        <v>middle age</v>
      </c>
      <c r="P696" t="s">
        <v>18</v>
      </c>
    </row>
    <row r="697" spans="3:16" x14ac:dyDescent="0.3">
      <c r="C697">
        <v>23479</v>
      </c>
      <c r="D697" t="s">
        <v>37</v>
      </c>
      <c r="E697" t="s">
        <v>38</v>
      </c>
      <c r="F697" s="3">
        <v>90000</v>
      </c>
      <c r="G697">
        <v>0</v>
      </c>
      <c r="H697" t="s">
        <v>19</v>
      </c>
      <c r="I697" t="s">
        <v>21</v>
      </c>
      <c r="J697" t="s">
        <v>18</v>
      </c>
      <c r="K697">
        <v>2</v>
      </c>
      <c r="L697" t="s">
        <v>16</v>
      </c>
      <c r="M697" t="s">
        <v>32</v>
      </c>
      <c r="N697">
        <v>43</v>
      </c>
      <c r="O697" t="str" cm="1">
        <f t="array" ref="O697">_xlfn.IFS(N697&gt;=54,"old",N697&gt;=31,"middle age",N697&gt;=18,"adolsent",N697&lt;18,"invalid")</f>
        <v>middle age</v>
      </c>
      <c r="P697" t="s">
        <v>15</v>
      </c>
    </row>
    <row r="698" spans="3:16" x14ac:dyDescent="0.3">
      <c r="C698">
        <v>23491</v>
      </c>
      <c r="D698" t="s">
        <v>37</v>
      </c>
      <c r="E698" t="s">
        <v>38</v>
      </c>
      <c r="F698" s="3">
        <v>100000</v>
      </c>
      <c r="G698">
        <v>0</v>
      </c>
      <c r="H698" t="s">
        <v>19</v>
      </c>
      <c r="I698" t="s">
        <v>21</v>
      </c>
      <c r="J698" t="s">
        <v>18</v>
      </c>
      <c r="K698">
        <v>4</v>
      </c>
      <c r="L698" t="s">
        <v>26</v>
      </c>
      <c r="M698" t="s">
        <v>32</v>
      </c>
      <c r="N698">
        <v>45</v>
      </c>
      <c r="O698" t="str" cm="1">
        <f t="array" ref="O698">_xlfn.IFS(N698&gt;=54,"old",N698&gt;=31,"middle age",N698&gt;=18,"adolsent",N698&lt;18,"invalid")</f>
        <v>middle age</v>
      </c>
      <c r="P698" t="s">
        <v>18</v>
      </c>
    </row>
    <row r="699" spans="3:16" x14ac:dyDescent="0.3">
      <c r="C699">
        <v>23513</v>
      </c>
      <c r="D699" t="s">
        <v>36</v>
      </c>
      <c r="E699" t="s">
        <v>39</v>
      </c>
      <c r="F699" s="3">
        <v>40000</v>
      </c>
      <c r="G699">
        <v>3</v>
      </c>
      <c r="H699" t="s">
        <v>19</v>
      </c>
      <c r="I699" t="s">
        <v>21</v>
      </c>
      <c r="J699" t="s">
        <v>15</v>
      </c>
      <c r="K699">
        <v>2</v>
      </c>
      <c r="L699" t="s">
        <v>23</v>
      </c>
      <c r="M699" t="s">
        <v>32</v>
      </c>
      <c r="N699">
        <v>54</v>
      </c>
      <c r="O699" t="str" cm="1">
        <f t="array" ref="O699">_xlfn.IFS(N699&gt;=54,"old",N699&gt;=31,"middle age",N699&gt;=18,"adolsent",N699&lt;18,"invalid")</f>
        <v>old</v>
      </c>
      <c r="P699" t="s">
        <v>18</v>
      </c>
    </row>
    <row r="700" spans="3:16" x14ac:dyDescent="0.3">
      <c r="C700">
        <v>23542</v>
      </c>
      <c r="D700" t="s">
        <v>37</v>
      </c>
      <c r="E700" t="s">
        <v>38</v>
      </c>
      <c r="F700" s="3">
        <v>60000</v>
      </c>
      <c r="G700">
        <v>1</v>
      </c>
      <c r="H700" t="s">
        <v>19</v>
      </c>
      <c r="I700" t="s">
        <v>14</v>
      </c>
      <c r="J700" t="s">
        <v>18</v>
      </c>
      <c r="K700">
        <v>1</v>
      </c>
      <c r="L700" t="s">
        <v>16</v>
      </c>
      <c r="M700" t="s">
        <v>24</v>
      </c>
      <c r="N700">
        <v>45</v>
      </c>
      <c r="O700" t="str" cm="1">
        <f t="array" ref="O700">_xlfn.IFS(N700&gt;=54,"old",N700&gt;=31,"middle age",N700&gt;=18,"adolsent",N700&lt;18,"invalid")</f>
        <v>middle age</v>
      </c>
      <c r="P700" t="s">
        <v>15</v>
      </c>
    </row>
    <row r="701" spans="3:16" x14ac:dyDescent="0.3">
      <c r="C701">
        <v>23549</v>
      </c>
      <c r="D701" t="s">
        <v>37</v>
      </c>
      <c r="E701" t="s">
        <v>38</v>
      </c>
      <c r="F701" s="3">
        <v>30000</v>
      </c>
      <c r="G701">
        <v>0</v>
      </c>
      <c r="H701" t="s">
        <v>27</v>
      </c>
      <c r="I701" t="s">
        <v>14</v>
      </c>
      <c r="J701" t="s">
        <v>15</v>
      </c>
      <c r="K701">
        <v>2</v>
      </c>
      <c r="L701" t="s">
        <v>23</v>
      </c>
      <c r="M701" t="s">
        <v>32</v>
      </c>
      <c r="N701">
        <v>30</v>
      </c>
      <c r="O701" t="str" cm="1">
        <f t="array" ref="O701">_xlfn.IFS(N701&gt;=54,"old",N701&gt;=31,"middle age",N701&gt;=18,"adolsent",N701&lt;18,"invalid")</f>
        <v>adolsent</v>
      </c>
      <c r="P701" t="s">
        <v>18</v>
      </c>
    </row>
    <row r="702" spans="3:16" x14ac:dyDescent="0.3">
      <c r="C702">
        <v>23571</v>
      </c>
      <c r="D702" t="s">
        <v>36</v>
      </c>
      <c r="E702" t="s">
        <v>39</v>
      </c>
      <c r="F702" s="3">
        <v>40000</v>
      </c>
      <c r="G702">
        <v>2</v>
      </c>
      <c r="H702" t="s">
        <v>13</v>
      </c>
      <c r="I702" t="s">
        <v>28</v>
      </c>
      <c r="J702" t="s">
        <v>15</v>
      </c>
      <c r="K702">
        <v>2</v>
      </c>
      <c r="L702" t="s">
        <v>16</v>
      </c>
      <c r="M702" t="s">
        <v>24</v>
      </c>
      <c r="N702">
        <v>66</v>
      </c>
      <c r="O702" t="str" cm="1">
        <f t="array" ref="O702">_xlfn.IFS(N702&gt;=54,"old",N702&gt;=31,"middle age",N702&gt;=18,"adolsent",N702&lt;18,"invalid")</f>
        <v>old</v>
      </c>
      <c r="P702" t="s">
        <v>15</v>
      </c>
    </row>
    <row r="703" spans="3:16" x14ac:dyDescent="0.3">
      <c r="C703">
        <v>23586</v>
      </c>
      <c r="D703" t="s">
        <v>36</v>
      </c>
      <c r="E703" t="s">
        <v>39</v>
      </c>
      <c r="F703" s="3">
        <v>80000</v>
      </c>
      <c r="G703">
        <v>0</v>
      </c>
      <c r="H703" t="s">
        <v>13</v>
      </c>
      <c r="I703" t="s">
        <v>28</v>
      </c>
      <c r="J703" t="s">
        <v>15</v>
      </c>
      <c r="K703">
        <v>1</v>
      </c>
      <c r="L703" t="s">
        <v>26</v>
      </c>
      <c r="M703" t="s">
        <v>32</v>
      </c>
      <c r="N703">
        <v>34</v>
      </c>
      <c r="O703" t="str" cm="1">
        <f t="array" ref="O703">_xlfn.IFS(N703&gt;=54,"old",N703&gt;=31,"middle age",N703&gt;=18,"adolsent",N703&lt;18,"invalid")</f>
        <v>middle age</v>
      </c>
      <c r="P703" t="s">
        <v>15</v>
      </c>
    </row>
    <row r="704" spans="3:16" x14ac:dyDescent="0.3">
      <c r="C704">
        <v>23608</v>
      </c>
      <c r="D704" t="s">
        <v>36</v>
      </c>
      <c r="E704" t="s">
        <v>39</v>
      </c>
      <c r="F704" s="3">
        <v>150000</v>
      </c>
      <c r="G704">
        <v>3</v>
      </c>
      <c r="H704" t="s">
        <v>27</v>
      </c>
      <c r="I704" t="s">
        <v>21</v>
      </c>
      <c r="J704" t="s">
        <v>15</v>
      </c>
      <c r="K704">
        <v>3</v>
      </c>
      <c r="L704" t="s">
        <v>16</v>
      </c>
      <c r="M704" t="s">
        <v>17</v>
      </c>
      <c r="N704">
        <v>51</v>
      </c>
      <c r="O704" t="str" cm="1">
        <f t="array" ref="O704">_xlfn.IFS(N704&gt;=54,"old",N704&gt;=31,"middle age",N704&gt;=18,"adolsent",N704&lt;18,"invalid")</f>
        <v>middle age</v>
      </c>
      <c r="P704" t="s">
        <v>15</v>
      </c>
    </row>
    <row r="705" spans="3:16" x14ac:dyDescent="0.3">
      <c r="C705">
        <v>23627</v>
      </c>
      <c r="D705" t="s">
        <v>37</v>
      </c>
      <c r="E705" t="s">
        <v>39</v>
      </c>
      <c r="F705" s="3">
        <v>100000</v>
      </c>
      <c r="G705">
        <v>3</v>
      </c>
      <c r="H705" t="s">
        <v>19</v>
      </c>
      <c r="I705" t="s">
        <v>28</v>
      </c>
      <c r="J705" t="s">
        <v>18</v>
      </c>
      <c r="K705">
        <v>4</v>
      </c>
      <c r="L705" t="s">
        <v>23</v>
      </c>
      <c r="M705" t="s">
        <v>17</v>
      </c>
      <c r="N705">
        <v>56</v>
      </c>
      <c r="O705" t="str" cm="1">
        <f t="array" ref="O705">_xlfn.IFS(N705&gt;=54,"old",N705&gt;=31,"middle age",N705&gt;=18,"adolsent",N705&lt;18,"invalid")</f>
        <v>old</v>
      </c>
      <c r="P705" t="s">
        <v>18</v>
      </c>
    </row>
    <row r="706" spans="3:16" x14ac:dyDescent="0.3">
      <c r="C706">
        <v>23668</v>
      </c>
      <c r="D706" t="s">
        <v>36</v>
      </c>
      <c r="E706" t="s">
        <v>39</v>
      </c>
      <c r="F706" s="3">
        <v>40000</v>
      </c>
      <c r="G706">
        <v>4</v>
      </c>
      <c r="H706" t="s">
        <v>27</v>
      </c>
      <c r="I706" t="s">
        <v>21</v>
      </c>
      <c r="J706" t="s">
        <v>15</v>
      </c>
      <c r="K706">
        <v>2</v>
      </c>
      <c r="L706" t="s">
        <v>23</v>
      </c>
      <c r="M706" t="s">
        <v>32</v>
      </c>
      <c r="N706">
        <v>59</v>
      </c>
      <c r="O706" t="str" cm="1">
        <f t="array" ref="O706">_xlfn.IFS(N706&gt;=54,"old",N706&gt;=31,"middle age",N706&gt;=18,"adolsent",N706&lt;18,"invalid")</f>
        <v>old</v>
      </c>
      <c r="P706" t="s">
        <v>15</v>
      </c>
    </row>
    <row r="707" spans="3:16" x14ac:dyDescent="0.3">
      <c r="C707">
        <v>23672</v>
      </c>
      <c r="D707" t="s">
        <v>36</v>
      </c>
      <c r="E707" t="s">
        <v>39</v>
      </c>
      <c r="F707" s="3">
        <v>60000</v>
      </c>
      <c r="G707">
        <v>3</v>
      </c>
      <c r="H707" t="s">
        <v>31</v>
      </c>
      <c r="I707" t="s">
        <v>28</v>
      </c>
      <c r="J707" t="s">
        <v>15</v>
      </c>
      <c r="K707">
        <v>2</v>
      </c>
      <c r="L707" t="s">
        <v>26</v>
      </c>
      <c r="M707" t="s">
        <v>32</v>
      </c>
      <c r="N707">
        <v>67</v>
      </c>
      <c r="O707" t="str" cm="1">
        <f t="array" ref="O707">_xlfn.IFS(N707&gt;=54,"old",N707&gt;=31,"middle age",N707&gt;=18,"adolsent",N707&lt;18,"invalid")</f>
        <v>old</v>
      </c>
      <c r="P707" t="s">
        <v>18</v>
      </c>
    </row>
    <row r="708" spans="3:16" x14ac:dyDescent="0.3">
      <c r="C708">
        <v>23704</v>
      </c>
      <c r="D708" t="s">
        <v>37</v>
      </c>
      <c r="E708" t="s">
        <v>38</v>
      </c>
      <c r="F708" s="3">
        <v>40000</v>
      </c>
      <c r="G708">
        <v>5</v>
      </c>
      <c r="H708" t="s">
        <v>27</v>
      </c>
      <c r="I708" t="s">
        <v>21</v>
      </c>
      <c r="J708" t="s">
        <v>15</v>
      </c>
      <c r="K708">
        <v>4</v>
      </c>
      <c r="L708" t="s">
        <v>30</v>
      </c>
      <c r="M708" t="s">
        <v>32</v>
      </c>
      <c r="N708">
        <v>60</v>
      </c>
      <c r="O708" t="str" cm="1">
        <f t="array" ref="O708">_xlfn.IFS(N708&gt;=54,"old",N708&gt;=31,"middle age",N708&gt;=18,"adolsent",N708&lt;18,"invalid")</f>
        <v>old</v>
      </c>
      <c r="P708" t="s">
        <v>15</v>
      </c>
    </row>
    <row r="709" spans="3:16" x14ac:dyDescent="0.3">
      <c r="C709">
        <v>23707</v>
      </c>
      <c r="D709" t="s">
        <v>37</v>
      </c>
      <c r="E709" t="s">
        <v>38</v>
      </c>
      <c r="F709" s="3">
        <v>70000</v>
      </c>
      <c r="G709">
        <v>5</v>
      </c>
      <c r="H709" t="s">
        <v>13</v>
      </c>
      <c r="I709" t="s">
        <v>28</v>
      </c>
      <c r="J709" t="s">
        <v>15</v>
      </c>
      <c r="K709">
        <v>3</v>
      </c>
      <c r="L709" t="s">
        <v>30</v>
      </c>
      <c r="M709" t="s">
        <v>32</v>
      </c>
      <c r="N709">
        <v>60</v>
      </c>
      <c r="O709" t="str" cm="1">
        <f t="array" ref="O709">_xlfn.IFS(N709&gt;=54,"old",N709&gt;=31,"middle age",N709&gt;=18,"adolsent",N709&lt;18,"invalid")</f>
        <v>old</v>
      </c>
      <c r="P709" t="s">
        <v>15</v>
      </c>
    </row>
    <row r="710" spans="3:16" x14ac:dyDescent="0.3">
      <c r="C710">
        <v>23712</v>
      </c>
      <c r="D710" t="s">
        <v>37</v>
      </c>
      <c r="E710" t="s">
        <v>39</v>
      </c>
      <c r="F710" s="3">
        <v>70000</v>
      </c>
      <c r="G710">
        <v>2</v>
      </c>
      <c r="H710" t="s">
        <v>13</v>
      </c>
      <c r="I710" t="s">
        <v>28</v>
      </c>
      <c r="J710" t="s">
        <v>15</v>
      </c>
      <c r="K710">
        <v>1</v>
      </c>
      <c r="L710" t="s">
        <v>30</v>
      </c>
      <c r="M710" t="s">
        <v>32</v>
      </c>
      <c r="N710">
        <v>59</v>
      </c>
      <c r="O710" t="str" cm="1">
        <f t="array" ref="O710">_xlfn.IFS(N710&gt;=54,"old",N710&gt;=31,"middle age",N710&gt;=18,"adolsent",N710&lt;18,"invalid")</f>
        <v>old</v>
      </c>
      <c r="P710" t="s">
        <v>18</v>
      </c>
    </row>
    <row r="711" spans="3:16" x14ac:dyDescent="0.3">
      <c r="C711">
        <v>23731</v>
      </c>
      <c r="D711" t="s">
        <v>36</v>
      </c>
      <c r="E711" t="s">
        <v>38</v>
      </c>
      <c r="F711" s="3">
        <v>60000</v>
      </c>
      <c r="G711">
        <v>2</v>
      </c>
      <c r="H711" t="s">
        <v>27</v>
      </c>
      <c r="I711" t="s">
        <v>21</v>
      </c>
      <c r="J711" t="s">
        <v>15</v>
      </c>
      <c r="K711">
        <v>2</v>
      </c>
      <c r="L711" t="s">
        <v>22</v>
      </c>
      <c r="M711" t="s">
        <v>32</v>
      </c>
      <c r="N711">
        <v>54</v>
      </c>
      <c r="O711" t="str" cm="1">
        <f t="array" ref="O711">_xlfn.IFS(N711&gt;=54,"old",N711&gt;=31,"middle age",N711&gt;=18,"adolsent",N711&lt;18,"invalid")</f>
        <v>old</v>
      </c>
      <c r="P711" t="s">
        <v>15</v>
      </c>
    </row>
    <row r="712" spans="3:16" x14ac:dyDescent="0.3">
      <c r="C712">
        <v>23780</v>
      </c>
      <c r="D712" t="s">
        <v>37</v>
      </c>
      <c r="E712" t="s">
        <v>38</v>
      </c>
      <c r="F712" s="3">
        <v>40000</v>
      </c>
      <c r="G712">
        <v>2</v>
      </c>
      <c r="H712" t="s">
        <v>19</v>
      </c>
      <c r="I712" t="s">
        <v>20</v>
      </c>
      <c r="J712" t="s">
        <v>18</v>
      </c>
      <c r="K712">
        <v>2</v>
      </c>
      <c r="L712" t="s">
        <v>16</v>
      </c>
      <c r="M712" t="s">
        <v>17</v>
      </c>
      <c r="N712">
        <v>36</v>
      </c>
      <c r="O712" t="str" cm="1">
        <f t="array" ref="O712">_xlfn.IFS(N712&gt;=54,"old",N712&gt;=31,"middle age",N712&gt;=18,"adolsent",N712&lt;18,"invalid")</f>
        <v>middle age</v>
      </c>
      <c r="P712" t="s">
        <v>15</v>
      </c>
    </row>
    <row r="713" spans="3:16" x14ac:dyDescent="0.3">
      <c r="C713">
        <v>23797</v>
      </c>
      <c r="D713" t="s">
        <v>37</v>
      </c>
      <c r="E713" t="s">
        <v>38</v>
      </c>
      <c r="F713" s="3">
        <v>20000</v>
      </c>
      <c r="G713">
        <v>3</v>
      </c>
      <c r="H713" t="s">
        <v>29</v>
      </c>
      <c r="I713" t="s">
        <v>20</v>
      </c>
      <c r="J713" t="s">
        <v>18</v>
      </c>
      <c r="K713">
        <v>2</v>
      </c>
      <c r="L713" t="s">
        <v>16</v>
      </c>
      <c r="M713" t="s">
        <v>32</v>
      </c>
      <c r="N713">
        <v>50</v>
      </c>
      <c r="O713" t="str" cm="1">
        <f t="array" ref="O713">_xlfn.IFS(N713&gt;=54,"old",N713&gt;=31,"middle age",N713&gt;=18,"adolsent",N713&lt;18,"invalid")</f>
        <v>middle age</v>
      </c>
      <c r="P713" t="s">
        <v>18</v>
      </c>
    </row>
    <row r="714" spans="3:16" x14ac:dyDescent="0.3">
      <c r="C714">
        <v>23801</v>
      </c>
      <c r="D714" t="s">
        <v>36</v>
      </c>
      <c r="E714" t="s">
        <v>39</v>
      </c>
      <c r="F714" s="3">
        <v>20000</v>
      </c>
      <c r="G714">
        <v>2</v>
      </c>
      <c r="H714" t="s">
        <v>29</v>
      </c>
      <c r="I714" t="s">
        <v>20</v>
      </c>
      <c r="J714" t="s">
        <v>15</v>
      </c>
      <c r="K714">
        <v>2</v>
      </c>
      <c r="L714" t="s">
        <v>16</v>
      </c>
      <c r="M714" t="s">
        <v>32</v>
      </c>
      <c r="N714">
        <v>49</v>
      </c>
      <c r="O714" t="str" cm="1">
        <f t="array" ref="O714">_xlfn.IFS(N714&gt;=54,"old",N714&gt;=31,"middle age",N714&gt;=18,"adolsent",N714&lt;18,"invalid")</f>
        <v>middle age</v>
      </c>
      <c r="P714" t="s">
        <v>18</v>
      </c>
    </row>
    <row r="715" spans="3:16" x14ac:dyDescent="0.3">
      <c r="C715">
        <v>23818</v>
      </c>
      <c r="D715" t="s">
        <v>36</v>
      </c>
      <c r="E715" t="s">
        <v>39</v>
      </c>
      <c r="F715" s="3">
        <v>50000</v>
      </c>
      <c r="G715">
        <v>0</v>
      </c>
      <c r="H715" t="s">
        <v>31</v>
      </c>
      <c r="I715" t="s">
        <v>14</v>
      </c>
      <c r="J715" t="s">
        <v>15</v>
      </c>
      <c r="K715">
        <v>0</v>
      </c>
      <c r="L715" t="s">
        <v>26</v>
      </c>
      <c r="M715" t="s">
        <v>32</v>
      </c>
      <c r="N715">
        <v>33</v>
      </c>
      <c r="O715" t="str" cm="1">
        <f t="array" ref="O715">_xlfn.IFS(N715&gt;=54,"old",N715&gt;=31,"middle age",N715&gt;=18,"adolsent",N715&lt;18,"invalid")</f>
        <v>middle age</v>
      </c>
      <c r="P715" t="s">
        <v>15</v>
      </c>
    </row>
    <row r="716" spans="3:16" x14ac:dyDescent="0.3">
      <c r="C716">
        <v>23882</v>
      </c>
      <c r="D716" t="s">
        <v>37</v>
      </c>
      <c r="E716" t="s">
        <v>39</v>
      </c>
      <c r="F716" s="3">
        <v>80000</v>
      </c>
      <c r="G716">
        <v>3</v>
      </c>
      <c r="H716" t="s">
        <v>31</v>
      </c>
      <c r="I716" t="s">
        <v>21</v>
      </c>
      <c r="J716" t="s">
        <v>15</v>
      </c>
      <c r="K716">
        <v>0</v>
      </c>
      <c r="L716" t="s">
        <v>16</v>
      </c>
      <c r="M716" t="s">
        <v>32</v>
      </c>
      <c r="N716">
        <v>37</v>
      </c>
      <c r="O716" t="str" cm="1">
        <f t="array" ref="O716">_xlfn.IFS(N716&gt;=54,"old",N716&gt;=31,"middle age",N716&gt;=18,"adolsent",N716&lt;18,"invalid")</f>
        <v>middle age</v>
      </c>
      <c r="P716" t="s">
        <v>15</v>
      </c>
    </row>
    <row r="717" spans="3:16" x14ac:dyDescent="0.3">
      <c r="C717">
        <v>23893</v>
      </c>
      <c r="D717" t="s">
        <v>36</v>
      </c>
      <c r="E717" t="s">
        <v>38</v>
      </c>
      <c r="F717" s="3">
        <v>50000</v>
      </c>
      <c r="G717">
        <v>3</v>
      </c>
      <c r="H717" t="s">
        <v>13</v>
      </c>
      <c r="I717" t="s">
        <v>14</v>
      </c>
      <c r="J717" t="s">
        <v>15</v>
      </c>
      <c r="K717">
        <v>3</v>
      </c>
      <c r="L717" t="s">
        <v>30</v>
      </c>
      <c r="M717" t="s">
        <v>32</v>
      </c>
      <c r="N717">
        <v>41</v>
      </c>
      <c r="O717" t="str" cm="1">
        <f t="array" ref="O717">_xlfn.IFS(N717&gt;=54,"old",N717&gt;=31,"middle age",N717&gt;=18,"adolsent",N717&lt;18,"invalid")</f>
        <v>middle age</v>
      </c>
      <c r="P717" t="s">
        <v>18</v>
      </c>
    </row>
    <row r="718" spans="3:16" x14ac:dyDescent="0.3">
      <c r="C718">
        <v>23908</v>
      </c>
      <c r="D718" t="s">
        <v>37</v>
      </c>
      <c r="E718" t="s">
        <v>38</v>
      </c>
      <c r="F718" s="3">
        <v>30000</v>
      </c>
      <c r="G718">
        <v>1</v>
      </c>
      <c r="H718" t="s">
        <v>13</v>
      </c>
      <c r="I718" t="s">
        <v>20</v>
      </c>
      <c r="J718" t="s">
        <v>18</v>
      </c>
      <c r="K718">
        <v>1</v>
      </c>
      <c r="L718" t="s">
        <v>16</v>
      </c>
      <c r="M718" t="s">
        <v>17</v>
      </c>
      <c r="N718">
        <v>39</v>
      </c>
      <c r="O718" t="str" cm="1">
        <f t="array" ref="O718">_xlfn.IFS(N718&gt;=54,"old",N718&gt;=31,"middle age",N718&gt;=18,"adolsent",N718&lt;18,"invalid")</f>
        <v>middle age</v>
      </c>
      <c r="P718" t="s">
        <v>15</v>
      </c>
    </row>
    <row r="719" spans="3:16" x14ac:dyDescent="0.3">
      <c r="C719">
        <v>23915</v>
      </c>
      <c r="D719" t="s">
        <v>36</v>
      </c>
      <c r="E719" t="s">
        <v>38</v>
      </c>
      <c r="F719" s="3">
        <v>20000</v>
      </c>
      <c r="G719">
        <v>2</v>
      </c>
      <c r="H719" t="s">
        <v>27</v>
      </c>
      <c r="I719" t="s">
        <v>25</v>
      </c>
      <c r="J719" t="s">
        <v>15</v>
      </c>
      <c r="K719">
        <v>2</v>
      </c>
      <c r="L719" t="s">
        <v>16</v>
      </c>
      <c r="M719" t="s">
        <v>17</v>
      </c>
      <c r="N719">
        <v>42</v>
      </c>
      <c r="O719" t="str" cm="1">
        <f t="array" ref="O719">_xlfn.IFS(N719&gt;=54,"old",N719&gt;=31,"middle age",N719&gt;=18,"adolsent",N719&lt;18,"invalid")</f>
        <v>middle age</v>
      </c>
      <c r="P719" t="s">
        <v>18</v>
      </c>
    </row>
    <row r="720" spans="3:16" x14ac:dyDescent="0.3">
      <c r="C720">
        <v>23940</v>
      </c>
      <c r="D720" t="s">
        <v>36</v>
      </c>
      <c r="E720" t="s">
        <v>38</v>
      </c>
      <c r="F720" s="3">
        <v>40000</v>
      </c>
      <c r="G720">
        <v>1</v>
      </c>
      <c r="H720" t="s">
        <v>13</v>
      </c>
      <c r="I720" t="s">
        <v>14</v>
      </c>
      <c r="J720" t="s">
        <v>15</v>
      </c>
      <c r="K720">
        <v>1</v>
      </c>
      <c r="L720" t="s">
        <v>16</v>
      </c>
      <c r="M720" t="s">
        <v>17</v>
      </c>
      <c r="N720">
        <v>44</v>
      </c>
      <c r="O720" t="str" cm="1">
        <f t="array" ref="O720">_xlfn.IFS(N720&gt;=54,"old",N720&gt;=31,"middle age",N720&gt;=18,"adolsent",N720&lt;18,"invalid")</f>
        <v>middle age</v>
      </c>
      <c r="P720" t="s">
        <v>15</v>
      </c>
    </row>
    <row r="721" spans="3:16" x14ac:dyDescent="0.3">
      <c r="C721">
        <v>23962</v>
      </c>
      <c r="D721" t="s">
        <v>36</v>
      </c>
      <c r="E721" t="s">
        <v>39</v>
      </c>
      <c r="F721" s="3">
        <v>10000</v>
      </c>
      <c r="G721">
        <v>0</v>
      </c>
      <c r="H721" t="s">
        <v>29</v>
      </c>
      <c r="I721" t="s">
        <v>25</v>
      </c>
      <c r="J721" t="s">
        <v>15</v>
      </c>
      <c r="K721">
        <v>2</v>
      </c>
      <c r="L721" t="s">
        <v>26</v>
      </c>
      <c r="M721" t="s">
        <v>17</v>
      </c>
      <c r="N721">
        <v>32</v>
      </c>
      <c r="O721" t="str" cm="1">
        <f t="array" ref="O721">_xlfn.IFS(N721&gt;=54,"old",N721&gt;=31,"middle age",N721&gt;=18,"adolsent",N721&lt;18,"invalid")</f>
        <v>middle age</v>
      </c>
      <c r="P721" t="s">
        <v>18</v>
      </c>
    </row>
    <row r="722" spans="3:16" x14ac:dyDescent="0.3">
      <c r="C722">
        <v>23963</v>
      </c>
      <c r="D722" t="s">
        <v>36</v>
      </c>
      <c r="E722" t="s">
        <v>38</v>
      </c>
      <c r="F722" s="3">
        <v>10000</v>
      </c>
      <c r="G722">
        <v>0</v>
      </c>
      <c r="H722" t="s">
        <v>29</v>
      </c>
      <c r="I722" t="s">
        <v>25</v>
      </c>
      <c r="J722" t="s">
        <v>18</v>
      </c>
      <c r="K722">
        <v>2</v>
      </c>
      <c r="L722" t="s">
        <v>16</v>
      </c>
      <c r="M722" t="s">
        <v>17</v>
      </c>
      <c r="N722">
        <v>33</v>
      </c>
      <c r="O722" t="str" cm="1">
        <f t="array" ref="O722">_xlfn.IFS(N722&gt;=54,"old",N722&gt;=31,"middle age",N722&gt;=18,"adolsent",N722&lt;18,"invalid")</f>
        <v>middle age</v>
      </c>
      <c r="P722" t="s">
        <v>18</v>
      </c>
    </row>
    <row r="723" spans="3:16" x14ac:dyDescent="0.3">
      <c r="C723">
        <v>23979</v>
      </c>
      <c r="D723" t="s">
        <v>37</v>
      </c>
      <c r="E723" t="s">
        <v>38</v>
      </c>
      <c r="F723" s="3">
        <v>10000</v>
      </c>
      <c r="G723">
        <v>2</v>
      </c>
      <c r="H723" t="s">
        <v>19</v>
      </c>
      <c r="I723" t="s">
        <v>25</v>
      </c>
      <c r="J723" t="s">
        <v>18</v>
      </c>
      <c r="K723">
        <v>0</v>
      </c>
      <c r="L723" t="s">
        <v>16</v>
      </c>
      <c r="M723" t="s">
        <v>17</v>
      </c>
      <c r="N723">
        <v>50</v>
      </c>
      <c r="O723" t="str" cm="1">
        <f t="array" ref="O723">_xlfn.IFS(N723&gt;=54,"old",N723&gt;=31,"middle age",N723&gt;=18,"adolsent",N723&lt;18,"invalid")</f>
        <v>middle age</v>
      </c>
      <c r="P723" t="s">
        <v>18</v>
      </c>
    </row>
    <row r="724" spans="3:16" x14ac:dyDescent="0.3">
      <c r="C724">
        <v>23986</v>
      </c>
      <c r="D724" t="s">
        <v>36</v>
      </c>
      <c r="E724" t="s">
        <v>39</v>
      </c>
      <c r="F724" s="3">
        <v>20000</v>
      </c>
      <c r="G724">
        <v>1</v>
      </c>
      <c r="H724" t="s">
        <v>13</v>
      </c>
      <c r="I724" t="s">
        <v>20</v>
      </c>
      <c r="J724" t="s">
        <v>15</v>
      </c>
      <c r="K724">
        <v>0</v>
      </c>
      <c r="L724" t="s">
        <v>16</v>
      </c>
      <c r="M724" t="s">
        <v>17</v>
      </c>
      <c r="N724">
        <v>66</v>
      </c>
      <c r="O724" t="str" cm="1">
        <f t="array" ref="O724">_xlfn.IFS(N724&gt;=54,"old",N724&gt;=31,"middle age",N724&gt;=18,"adolsent",N724&lt;18,"invalid")</f>
        <v>old</v>
      </c>
      <c r="P724" t="s">
        <v>15</v>
      </c>
    </row>
    <row r="725" spans="3:16" x14ac:dyDescent="0.3">
      <c r="C725">
        <v>23993</v>
      </c>
      <c r="D725" t="s">
        <v>37</v>
      </c>
      <c r="E725" t="s">
        <v>39</v>
      </c>
      <c r="F725" s="3">
        <v>10000</v>
      </c>
      <c r="G725">
        <v>0</v>
      </c>
      <c r="H725" t="s">
        <v>19</v>
      </c>
      <c r="I725" t="s">
        <v>25</v>
      </c>
      <c r="J725" t="s">
        <v>18</v>
      </c>
      <c r="K725">
        <v>1</v>
      </c>
      <c r="L725" t="s">
        <v>16</v>
      </c>
      <c r="M725" t="s">
        <v>24</v>
      </c>
      <c r="N725">
        <v>26</v>
      </c>
      <c r="O725" t="str" cm="1">
        <f t="array" ref="O725">_xlfn.IFS(N725&gt;=54,"old",N725&gt;=31,"middle age",N725&gt;=18,"adolsent",N725&lt;18,"invalid")</f>
        <v>adolsent</v>
      </c>
      <c r="P725" t="s">
        <v>15</v>
      </c>
    </row>
    <row r="726" spans="3:16" x14ac:dyDescent="0.3">
      <c r="C726">
        <v>24061</v>
      </c>
      <c r="D726" t="s">
        <v>36</v>
      </c>
      <c r="E726" t="s">
        <v>38</v>
      </c>
      <c r="F726" s="3">
        <v>10000</v>
      </c>
      <c r="G726">
        <v>4</v>
      </c>
      <c r="H726" t="s">
        <v>29</v>
      </c>
      <c r="I726" t="s">
        <v>25</v>
      </c>
      <c r="J726" t="s">
        <v>15</v>
      </c>
      <c r="K726">
        <v>1</v>
      </c>
      <c r="L726" t="s">
        <v>16</v>
      </c>
      <c r="M726" t="s">
        <v>17</v>
      </c>
      <c r="N726">
        <v>40</v>
      </c>
      <c r="O726" t="str" cm="1">
        <f t="array" ref="O726">_xlfn.IFS(N726&gt;=54,"old",N726&gt;=31,"middle age",N726&gt;=18,"adolsent",N726&lt;18,"invalid")</f>
        <v>middle age</v>
      </c>
      <c r="P726" t="s">
        <v>15</v>
      </c>
    </row>
    <row r="727" spans="3:16" x14ac:dyDescent="0.3">
      <c r="C727">
        <v>24065</v>
      </c>
      <c r="D727" t="s">
        <v>37</v>
      </c>
      <c r="E727" t="s">
        <v>39</v>
      </c>
      <c r="F727" s="3">
        <v>20000</v>
      </c>
      <c r="G727">
        <v>0</v>
      </c>
      <c r="H727" t="s">
        <v>27</v>
      </c>
      <c r="I727" t="s">
        <v>25</v>
      </c>
      <c r="J727" t="s">
        <v>15</v>
      </c>
      <c r="K727">
        <v>0</v>
      </c>
      <c r="L727" t="s">
        <v>16</v>
      </c>
      <c r="M727" t="s">
        <v>17</v>
      </c>
      <c r="N727">
        <v>40</v>
      </c>
      <c r="O727" t="str" cm="1">
        <f t="array" ref="O727">_xlfn.IFS(N727&gt;=54,"old",N727&gt;=31,"middle age",N727&gt;=18,"adolsent",N727&lt;18,"invalid")</f>
        <v>middle age</v>
      </c>
      <c r="P727" t="s">
        <v>15</v>
      </c>
    </row>
    <row r="728" spans="3:16" x14ac:dyDescent="0.3">
      <c r="C728">
        <v>24093</v>
      </c>
      <c r="D728" t="s">
        <v>37</v>
      </c>
      <c r="E728" t="s">
        <v>39</v>
      </c>
      <c r="F728" s="3">
        <v>80000</v>
      </c>
      <c r="G728">
        <v>0</v>
      </c>
      <c r="H728" t="s">
        <v>31</v>
      </c>
      <c r="I728" t="s">
        <v>14</v>
      </c>
      <c r="J728" t="s">
        <v>18</v>
      </c>
      <c r="K728">
        <v>0</v>
      </c>
      <c r="L728" t="s">
        <v>16</v>
      </c>
      <c r="M728" t="s">
        <v>17</v>
      </c>
      <c r="N728">
        <v>40</v>
      </c>
      <c r="O728" t="str" cm="1">
        <f t="array" ref="O728">_xlfn.IFS(N728&gt;=54,"old",N728&gt;=31,"middle age",N728&gt;=18,"adolsent",N728&lt;18,"invalid")</f>
        <v>middle age</v>
      </c>
      <c r="P728" t="s">
        <v>15</v>
      </c>
    </row>
    <row r="729" spans="3:16" x14ac:dyDescent="0.3">
      <c r="C729">
        <v>24107</v>
      </c>
      <c r="D729" t="s">
        <v>36</v>
      </c>
      <c r="E729" t="s">
        <v>38</v>
      </c>
      <c r="F729" s="3">
        <v>30000</v>
      </c>
      <c r="G729">
        <v>3</v>
      </c>
      <c r="H729" t="s">
        <v>19</v>
      </c>
      <c r="I729" t="s">
        <v>20</v>
      </c>
      <c r="J729" t="s">
        <v>15</v>
      </c>
      <c r="K729">
        <v>1</v>
      </c>
      <c r="L729" t="s">
        <v>16</v>
      </c>
      <c r="M729" t="s">
        <v>17</v>
      </c>
      <c r="N729">
        <v>43</v>
      </c>
      <c r="O729" t="str" cm="1">
        <f t="array" ref="O729">_xlfn.IFS(N729&gt;=54,"old",N729&gt;=31,"middle age",N729&gt;=18,"adolsent",N729&lt;18,"invalid")</f>
        <v>middle age</v>
      </c>
      <c r="P729" t="s">
        <v>18</v>
      </c>
    </row>
    <row r="730" spans="3:16" x14ac:dyDescent="0.3">
      <c r="C730">
        <v>24119</v>
      </c>
      <c r="D730" t="s">
        <v>37</v>
      </c>
      <c r="E730" t="s">
        <v>38</v>
      </c>
      <c r="F730" s="3">
        <v>30000</v>
      </c>
      <c r="G730">
        <v>0</v>
      </c>
      <c r="H730" t="s">
        <v>19</v>
      </c>
      <c r="I730" t="s">
        <v>20</v>
      </c>
      <c r="J730" t="s">
        <v>18</v>
      </c>
      <c r="K730">
        <v>1</v>
      </c>
      <c r="L730" t="s">
        <v>22</v>
      </c>
      <c r="M730" t="s">
        <v>17</v>
      </c>
      <c r="N730">
        <v>29</v>
      </c>
      <c r="O730" t="str" cm="1">
        <f t="array" ref="O730">_xlfn.IFS(N730&gt;=54,"old",N730&gt;=31,"middle age",N730&gt;=18,"adolsent",N730&lt;18,"invalid")</f>
        <v>adolsent</v>
      </c>
      <c r="P730" t="s">
        <v>18</v>
      </c>
    </row>
    <row r="731" spans="3:16" x14ac:dyDescent="0.3">
      <c r="C731">
        <v>24121</v>
      </c>
      <c r="D731" t="s">
        <v>37</v>
      </c>
      <c r="E731" t="s">
        <v>39</v>
      </c>
      <c r="F731" s="3">
        <v>30000</v>
      </c>
      <c r="G731">
        <v>0</v>
      </c>
      <c r="H731" t="s">
        <v>19</v>
      </c>
      <c r="I731" t="s">
        <v>20</v>
      </c>
      <c r="J731" t="s">
        <v>18</v>
      </c>
      <c r="K731">
        <v>1</v>
      </c>
      <c r="L731" t="s">
        <v>16</v>
      </c>
      <c r="M731" t="s">
        <v>17</v>
      </c>
      <c r="N731">
        <v>29</v>
      </c>
      <c r="O731" t="str" cm="1">
        <f t="array" ref="O731">_xlfn.IFS(N731&gt;=54,"old",N731&gt;=31,"middle age",N731&gt;=18,"adolsent",N731&lt;18,"invalid")</f>
        <v>adolsent</v>
      </c>
      <c r="P731" t="s">
        <v>15</v>
      </c>
    </row>
    <row r="732" spans="3:16" x14ac:dyDescent="0.3">
      <c r="C732">
        <v>24140</v>
      </c>
      <c r="D732" t="s">
        <v>37</v>
      </c>
      <c r="E732" t="s">
        <v>38</v>
      </c>
      <c r="F732" s="3">
        <v>10000</v>
      </c>
      <c r="G732">
        <v>0</v>
      </c>
      <c r="H732" t="s">
        <v>31</v>
      </c>
      <c r="I732" t="s">
        <v>25</v>
      </c>
      <c r="J732" t="s">
        <v>18</v>
      </c>
      <c r="K732">
        <v>0</v>
      </c>
      <c r="L732" t="s">
        <v>16</v>
      </c>
      <c r="M732" t="s">
        <v>17</v>
      </c>
      <c r="N732">
        <v>30</v>
      </c>
      <c r="O732" t="str" cm="1">
        <f t="array" ref="O732">_xlfn.IFS(N732&gt;=54,"old",N732&gt;=31,"middle age",N732&gt;=18,"adolsent",N732&lt;18,"invalid")</f>
        <v>adolsent</v>
      </c>
      <c r="P732" t="s">
        <v>15</v>
      </c>
    </row>
    <row r="733" spans="3:16" x14ac:dyDescent="0.3">
      <c r="C733">
        <v>24149</v>
      </c>
      <c r="D733" t="s">
        <v>36</v>
      </c>
      <c r="E733" t="s">
        <v>38</v>
      </c>
      <c r="F733" s="3">
        <v>10000</v>
      </c>
      <c r="G733">
        <v>2</v>
      </c>
      <c r="H733" t="s">
        <v>19</v>
      </c>
      <c r="I733" t="s">
        <v>25</v>
      </c>
      <c r="J733" t="s">
        <v>15</v>
      </c>
      <c r="K733">
        <v>0</v>
      </c>
      <c r="L733" t="s">
        <v>26</v>
      </c>
      <c r="M733" t="s">
        <v>17</v>
      </c>
      <c r="N733">
        <v>49</v>
      </c>
      <c r="O733" t="str" cm="1">
        <f t="array" ref="O733">_xlfn.IFS(N733&gt;=54,"old",N733&gt;=31,"middle age",N733&gt;=18,"adolsent",N733&lt;18,"invalid")</f>
        <v>middle age</v>
      </c>
      <c r="P733" t="s">
        <v>18</v>
      </c>
    </row>
    <row r="734" spans="3:16" x14ac:dyDescent="0.3">
      <c r="C734">
        <v>24151</v>
      </c>
      <c r="D734" t="s">
        <v>37</v>
      </c>
      <c r="E734" t="s">
        <v>38</v>
      </c>
      <c r="F734" s="3">
        <v>20000</v>
      </c>
      <c r="G734">
        <v>1</v>
      </c>
      <c r="H734" t="s">
        <v>13</v>
      </c>
      <c r="I734" t="s">
        <v>20</v>
      </c>
      <c r="J734" t="s">
        <v>18</v>
      </c>
      <c r="K734">
        <v>0</v>
      </c>
      <c r="L734" t="s">
        <v>16</v>
      </c>
      <c r="M734" t="s">
        <v>17</v>
      </c>
      <c r="N734">
        <v>51</v>
      </c>
      <c r="O734" t="str" cm="1">
        <f t="array" ref="O734">_xlfn.IFS(N734&gt;=54,"old",N734&gt;=31,"middle age",N734&gt;=18,"adolsent",N734&lt;18,"invalid")</f>
        <v>middle age</v>
      </c>
      <c r="P734" t="s">
        <v>18</v>
      </c>
    </row>
    <row r="735" spans="3:16" x14ac:dyDescent="0.3">
      <c r="C735">
        <v>24174</v>
      </c>
      <c r="D735" t="s">
        <v>36</v>
      </c>
      <c r="E735" t="s">
        <v>38</v>
      </c>
      <c r="F735" s="3">
        <v>20000</v>
      </c>
      <c r="G735">
        <v>0</v>
      </c>
      <c r="H735" t="s">
        <v>13</v>
      </c>
      <c r="I735" t="s">
        <v>20</v>
      </c>
      <c r="J735" t="s">
        <v>15</v>
      </c>
      <c r="K735">
        <v>0</v>
      </c>
      <c r="L735" t="s">
        <v>16</v>
      </c>
      <c r="M735" t="s">
        <v>24</v>
      </c>
      <c r="N735">
        <v>27</v>
      </c>
      <c r="O735" t="str" cm="1">
        <f t="array" ref="O735">_xlfn.IFS(N735&gt;=54,"old",N735&gt;=31,"middle age",N735&gt;=18,"adolsent",N735&lt;18,"invalid")</f>
        <v>adolsent</v>
      </c>
      <c r="P735" t="s">
        <v>15</v>
      </c>
    </row>
    <row r="736" spans="3:16" x14ac:dyDescent="0.3">
      <c r="C736">
        <v>24185</v>
      </c>
      <c r="D736" t="s">
        <v>37</v>
      </c>
      <c r="E736" t="s">
        <v>39</v>
      </c>
      <c r="F736" s="3">
        <v>10000</v>
      </c>
      <c r="G736">
        <v>1</v>
      </c>
      <c r="H736" t="s">
        <v>27</v>
      </c>
      <c r="I736" t="s">
        <v>25</v>
      </c>
      <c r="J736" t="s">
        <v>18</v>
      </c>
      <c r="K736">
        <v>1</v>
      </c>
      <c r="L736" t="s">
        <v>26</v>
      </c>
      <c r="M736" t="s">
        <v>17</v>
      </c>
      <c r="N736">
        <v>45</v>
      </c>
      <c r="O736" t="str" cm="1">
        <f t="array" ref="O736">_xlfn.IFS(N736&gt;=54,"old",N736&gt;=31,"middle age",N736&gt;=18,"adolsent",N736&lt;18,"invalid")</f>
        <v>middle age</v>
      </c>
      <c r="P736" t="s">
        <v>18</v>
      </c>
    </row>
    <row r="737" spans="3:16" x14ac:dyDescent="0.3">
      <c r="C737">
        <v>24187</v>
      </c>
      <c r="D737" t="s">
        <v>37</v>
      </c>
      <c r="E737" t="s">
        <v>39</v>
      </c>
      <c r="F737" s="3">
        <v>30000</v>
      </c>
      <c r="G737">
        <v>3</v>
      </c>
      <c r="H737" t="s">
        <v>31</v>
      </c>
      <c r="I737" t="s">
        <v>20</v>
      </c>
      <c r="J737" t="s">
        <v>18</v>
      </c>
      <c r="K737">
        <v>0</v>
      </c>
      <c r="L737" t="s">
        <v>16</v>
      </c>
      <c r="M737" t="s">
        <v>17</v>
      </c>
      <c r="N737">
        <v>46</v>
      </c>
      <c r="O737" t="str" cm="1">
        <f t="array" ref="O737">_xlfn.IFS(N737&gt;=54,"old",N737&gt;=31,"middle age",N737&gt;=18,"adolsent",N737&lt;18,"invalid")</f>
        <v>middle age</v>
      </c>
      <c r="P737" t="s">
        <v>15</v>
      </c>
    </row>
    <row r="738" spans="3:16" x14ac:dyDescent="0.3">
      <c r="C738">
        <v>24201</v>
      </c>
      <c r="D738" t="s">
        <v>36</v>
      </c>
      <c r="E738" t="s">
        <v>39</v>
      </c>
      <c r="F738" s="3">
        <v>10000</v>
      </c>
      <c r="G738">
        <v>2</v>
      </c>
      <c r="H738" t="s">
        <v>27</v>
      </c>
      <c r="I738" t="s">
        <v>25</v>
      </c>
      <c r="J738" t="s">
        <v>15</v>
      </c>
      <c r="K738">
        <v>0</v>
      </c>
      <c r="L738" t="s">
        <v>16</v>
      </c>
      <c r="M738" t="s">
        <v>17</v>
      </c>
      <c r="N738">
        <v>37</v>
      </c>
      <c r="O738" t="str" cm="1">
        <f t="array" ref="O738">_xlfn.IFS(N738&gt;=54,"old",N738&gt;=31,"middle age",N738&gt;=18,"adolsent",N738&lt;18,"invalid")</f>
        <v>middle age</v>
      </c>
      <c r="P738" t="s">
        <v>15</v>
      </c>
    </row>
    <row r="739" spans="3:16" x14ac:dyDescent="0.3">
      <c r="C739">
        <v>24273</v>
      </c>
      <c r="D739" t="s">
        <v>36</v>
      </c>
      <c r="E739" t="s">
        <v>39</v>
      </c>
      <c r="F739" s="3">
        <v>20000</v>
      </c>
      <c r="G739">
        <v>2</v>
      </c>
      <c r="H739" t="s">
        <v>29</v>
      </c>
      <c r="I739" t="s">
        <v>20</v>
      </c>
      <c r="J739" t="s">
        <v>15</v>
      </c>
      <c r="K739">
        <v>2</v>
      </c>
      <c r="L739" t="s">
        <v>23</v>
      </c>
      <c r="M739" t="s">
        <v>24</v>
      </c>
      <c r="N739">
        <v>55</v>
      </c>
      <c r="O739" t="str" cm="1">
        <f t="array" ref="O739">_xlfn.IFS(N739&gt;=54,"old",N739&gt;=31,"middle age",N739&gt;=18,"adolsent",N739&lt;18,"invalid")</f>
        <v>old</v>
      </c>
      <c r="P739" t="s">
        <v>15</v>
      </c>
    </row>
    <row r="740" spans="3:16" x14ac:dyDescent="0.3">
      <c r="C740">
        <v>24279</v>
      </c>
      <c r="D740" t="s">
        <v>37</v>
      </c>
      <c r="E740" t="s">
        <v>38</v>
      </c>
      <c r="F740" s="3">
        <v>40000</v>
      </c>
      <c r="G740">
        <v>2</v>
      </c>
      <c r="H740" t="s">
        <v>19</v>
      </c>
      <c r="I740" t="s">
        <v>14</v>
      </c>
      <c r="J740" t="s">
        <v>18</v>
      </c>
      <c r="K740">
        <v>2</v>
      </c>
      <c r="L740" t="s">
        <v>26</v>
      </c>
      <c r="M740" t="s">
        <v>24</v>
      </c>
      <c r="N740">
        <v>52</v>
      </c>
      <c r="O740" t="str" cm="1">
        <f t="array" ref="O740">_xlfn.IFS(N740&gt;=54,"old",N740&gt;=31,"middle age",N740&gt;=18,"adolsent",N740&lt;18,"invalid")</f>
        <v>middle age</v>
      </c>
      <c r="P740" t="s">
        <v>18</v>
      </c>
    </row>
    <row r="741" spans="3:16" x14ac:dyDescent="0.3">
      <c r="C741">
        <v>24305</v>
      </c>
      <c r="D741" t="s">
        <v>37</v>
      </c>
      <c r="E741" t="s">
        <v>38</v>
      </c>
      <c r="F741" s="3">
        <v>100000</v>
      </c>
      <c r="G741">
        <v>1</v>
      </c>
      <c r="H741" t="s">
        <v>13</v>
      </c>
      <c r="I741" t="s">
        <v>28</v>
      </c>
      <c r="J741" t="s">
        <v>18</v>
      </c>
      <c r="K741">
        <v>3</v>
      </c>
      <c r="L741" t="s">
        <v>16</v>
      </c>
      <c r="M741" t="s">
        <v>24</v>
      </c>
      <c r="N741">
        <v>46</v>
      </c>
      <c r="O741" t="str" cm="1">
        <f t="array" ref="O741">_xlfn.IFS(N741&gt;=54,"old",N741&gt;=31,"middle age",N741&gt;=18,"adolsent",N741&lt;18,"invalid")</f>
        <v>middle age</v>
      </c>
      <c r="P741" t="s">
        <v>15</v>
      </c>
    </row>
    <row r="742" spans="3:16" x14ac:dyDescent="0.3">
      <c r="C742">
        <v>24322</v>
      </c>
      <c r="D742" t="s">
        <v>36</v>
      </c>
      <c r="E742" t="s">
        <v>39</v>
      </c>
      <c r="F742" s="3">
        <v>60000</v>
      </c>
      <c r="G742">
        <v>4</v>
      </c>
      <c r="H742" t="s">
        <v>13</v>
      </c>
      <c r="I742" t="s">
        <v>14</v>
      </c>
      <c r="J742" t="s">
        <v>18</v>
      </c>
      <c r="K742">
        <v>2</v>
      </c>
      <c r="L742" t="s">
        <v>16</v>
      </c>
      <c r="M742" t="s">
        <v>32</v>
      </c>
      <c r="N742">
        <v>42</v>
      </c>
      <c r="O742" t="str" cm="1">
        <f t="array" ref="O742">_xlfn.IFS(N742&gt;=54,"old",N742&gt;=31,"middle age",N742&gt;=18,"adolsent",N742&lt;18,"invalid")</f>
        <v>middle age</v>
      </c>
      <c r="P742" t="s">
        <v>18</v>
      </c>
    </row>
    <row r="743" spans="3:16" x14ac:dyDescent="0.3">
      <c r="C743">
        <v>24324</v>
      </c>
      <c r="D743" t="s">
        <v>37</v>
      </c>
      <c r="E743" t="s">
        <v>39</v>
      </c>
      <c r="F743" s="3">
        <v>60000</v>
      </c>
      <c r="G743">
        <v>4</v>
      </c>
      <c r="H743" t="s">
        <v>13</v>
      </c>
      <c r="I743" t="s">
        <v>14</v>
      </c>
      <c r="J743" t="s">
        <v>15</v>
      </c>
      <c r="K743">
        <v>2</v>
      </c>
      <c r="L743" t="s">
        <v>22</v>
      </c>
      <c r="M743" t="s">
        <v>32</v>
      </c>
      <c r="N743">
        <v>41</v>
      </c>
      <c r="O743" t="str" cm="1">
        <f t="array" ref="O743">_xlfn.IFS(N743&gt;=54,"old",N743&gt;=31,"middle age",N743&gt;=18,"adolsent",N743&lt;18,"invalid")</f>
        <v>middle age</v>
      </c>
      <c r="P743" t="s">
        <v>15</v>
      </c>
    </row>
    <row r="744" spans="3:16" x14ac:dyDescent="0.3">
      <c r="C744">
        <v>24357</v>
      </c>
      <c r="D744" t="s">
        <v>36</v>
      </c>
      <c r="E744" t="s">
        <v>38</v>
      </c>
      <c r="F744" s="3">
        <v>80000</v>
      </c>
      <c r="G744">
        <v>3</v>
      </c>
      <c r="H744" t="s">
        <v>13</v>
      </c>
      <c r="I744" t="s">
        <v>21</v>
      </c>
      <c r="J744" t="s">
        <v>15</v>
      </c>
      <c r="K744">
        <v>1</v>
      </c>
      <c r="L744" t="s">
        <v>22</v>
      </c>
      <c r="M744" t="s">
        <v>32</v>
      </c>
      <c r="N744">
        <v>48</v>
      </c>
      <c r="O744" t="str" cm="1">
        <f t="array" ref="O744">_xlfn.IFS(N744&gt;=54,"old",N744&gt;=31,"middle age",N744&gt;=18,"adolsent",N744&lt;18,"invalid")</f>
        <v>middle age</v>
      </c>
      <c r="P744" t="s">
        <v>15</v>
      </c>
    </row>
    <row r="745" spans="3:16" x14ac:dyDescent="0.3">
      <c r="C745">
        <v>24369</v>
      </c>
      <c r="D745" t="s">
        <v>36</v>
      </c>
      <c r="E745" t="s">
        <v>38</v>
      </c>
      <c r="F745" s="3">
        <v>80000</v>
      </c>
      <c r="G745">
        <v>5</v>
      </c>
      <c r="H745" t="s">
        <v>31</v>
      </c>
      <c r="I745" t="s">
        <v>28</v>
      </c>
      <c r="J745" t="s">
        <v>18</v>
      </c>
      <c r="K745">
        <v>2</v>
      </c>
      <c r="L745" t="s">
        <v>16</v>
      </c>
      <c r="M745" t="s">
        <v>24</v>
      </c>
      <c r="N745">
        <v>39</v>
      </c>
      <c r="O745" t="str" cm="1">
        <f t="array" ref="O745">_xlfn.IFS(N745&gt;=54,"old",N745&gt;=31,"middle age",N745&gt;=18,"adolsent",N745&lt;18,"invalid")</f>
        <v>middle age</v>
      </c>
      <c r="P745" t="s">
        <v>18</v>
      </c>
    </row>
    <row r="746" spans="3:16" x14ac:dyDescent="0.3">
      <c r="C746">
        <v>24381</v>
      </c>
      <c r="D746" t="s">
        <v>37</v>
      </c>
      <c r="E746" t="s">
        <v>38</v>
      </c>
      <c r="F746" s="3">
        <v>70000</v>
      </c>
      <c r="G746">
        <v>0</v>
      </c>
      <c r="H746" t="s">
        <v>13</v>
      </c>
      <c r="I746" t="s">
        <v>21</v>
      </c>
      <c r="J746" t="s">
        <v>15</v>
      </c>
      <c r="K746">
        <v>1</v>
      </c>
      <c r="L746" t="s">
        <v>23</v>
      </c>
      <c r="M746" t="s">
        <v>24</v>
      </c>
      <c r="N746">
        <v>41</v>
      </c>
      <c r="O746" t="str" cm="1">
        <f t="array" ref="O746">_xlfn.IFS(N746&gt;=54,"old",N746&gt;=31,"middle age",N746&gt;=18,"adolsent",N746&lt;18,"invalid")</f>
        <v>middle age</v>
      </c>
      <c r="P746" t="s">
        <v>15</v>
      </c>
    </row>
    <row r="747" spans="3:16" x14ac:dyDescent="0.3">
      <c r="C747">
        <v>24397</v>
      </c>
      <c r="D747" t="s">
        <v>37</v>
      </c>
      <c r="E747" t="s">
        <v>38</v>
      </c>
      <c r="F747" s="3">
        <v>120000</v>
      </c>
      <c r="G747">
        <v>2</v>
      </c>
      <c r="H747" t="s">
        <v>13</v>
      </c>
      <c r="I747" t="s">
        <v>28</v>
      </c>
      <c r="J747" t="s">
        <v>18</v>
      </c>
      <c r="K747">
        <v>4</v>
      </c>
      <c r="L747" t="s">
        <v>26</v>
      </c>
      <c r="M747" t="s">
        <v>32</v>
      </c>
      <c r="N747">
        <v>40</v>
      </c>
      <c r="O747" t="str" cm="1">
        <f t="array" ref="O747">_xlfn.IFS(N747&gt;=54,"old",N747&gt;=31,"middle age",N747&gt;=18,"adolsent",N747&lt;18,"invalid")</f>
        <v>middle age</v>
      </c>
      <c r="P747" t="s">
        <v>18</v>
      </c>
    </row>
    <row r="748" spans="3:16" x14ac:dyDescent="0.3">
      <c r="C748">
        <v>24398</v>
      </c>
      <c r="D748" t="s">
        <v>36</v>
      </c>
      <c r="E748" t="s">
        <v>38</v>
      </c>
      <c r="F748" s="3">
        <v>130000</v>
      </c>
      <c r="G748">
        <v>1</v>
      </c>
      <c r="H748" t="s">
        <v>31</v>
      </c>
      <c r="I748" t="s">
        <v>28</v>
      </c>
      <c r="J748" t="s">
        <v>15</v>
      </c>
      <c r="K748">
        <v>4</v>
      </c>
      <c r="L748" t="s">
        <v>16</v>
      </c>
      <c r="M748" t="s">
        <v>32</v>
      </c>
      <c r="N748">
        <v>41</v>
      </c>
      <c r="O748" t="str" cm="1">
        <f t="array" ref="O748">_xlfn.IFS(N748&gt;=54,"old",N748&gt;=31,"middle age",N748&gt;=18,"adolsent",N748&lt;18,"invalid")</f>
        <v>middle age</v>
      </c>
      <c r="P748" t="s">
        <v>18</v>
      </c>
    </row>
    <row r="749" spans="3:16" x14ac:dyDescent="0.3">
      <c r="C749">
        <v>24416</v>
      </c>
      <c r="D749" t="s">
        <v>36</v>
      </c>
      <c r="E749" t="s">
        <v>38</v>
      </c>
      <c r="F749" s="3">
        <v>90000</v>
      </c>
      <c r="G749">
        <v>4</v>
      </c>
      <c r="H749" t="s">
        <v>27</v>
      </c>
      <c r="I749" t="s">
        <v>21</v>
      </c>
      <c r="J749" t="s">
        <v>15</v>
      </c>
      <c r="K749">
        <v>2</v>
      </c>
      <c r="L749" t="s">
        <v>26</v>
      </c>
      <c r="M749" t="s">
        <v>32</v>
      </c>
      <c r="N749">
        <v>45</v>
      </c>
      <c r="O749" t="str" cm="1">
        <f t="array" ref="O749">_xlfn.IFS(N749&gt;=54,"old",N749&gt;=31,"middle age",N749&gt;=18,"adolsent",N749&lt;18,"invalid")</f>
        <v>middle age</v>
      </c>
      <c r="P749" t="s">
        <v>18</v>
      </c>
    </row>
    <row r="750" spans="3:16" x14ac:dyDescent="0.3">
      <c r="C750">
        <v>24433</v>
      </c>
      <c r="D750" t="s">
        <v>36</v>
      </c>
      <c r="E750" t="s">
        <v>38</v>
      </c>
      <c r="F750" s="3">
        <v>70000</v>
      </c>
      <c r="G750">
        <v>3</v>
      </c>
      <c r="H750" t="s">
        <v>27</v>
      </c>
      <c r="I750" t="s">
        <v>21</v>
      </c>
      <c r="J750" t="s">
        <v>18</v>
      </c>
      <c r="K750">
        <v>1</v>
      </c>
      <c r="L750" t="s">
        <v>26</v>
      </c>
      <c r="M750" t="s">
        <v>32</v>
      </c>
      <c r="N750">
        <v>52</v>
      </c>
      <c r="O750" t="str" cm="1">
        <f t="array" ref="O750">_xlfn.IFS(N750&gt;=54,"old",N750&gt;=31,"middle age",N750&gt;=18,"adolsent",N750&lt;18,"invalid")</f>
        <v>middle age</v>
      </c>
      <c r="P750" t="s">
        <v>15</v>
      </c>
    </row>
    <row r="751" spans="3:16" x14ac:dyDescent="0.3">
      <c r="C751">
        <v>24466</v>
      </c>
      <c r="D751" t="s">
        <v>36</v>
      </c>
      <c r="E751" t="s">
        <v>39</v>
      </c>
      <c r="F751" s="3">
        <v>60000</v>
      </c>
      <c r="G751">
        <v>1</v>
      </c>
      <c r="H751" t="s">
        <v>19</v>
      </c>
      <c r="I751" t="s">
        <v>14</v>
      </c>
      <c r="J751" t="s">
        <v>15</v>
      </c>
      <c r="K751">
        <v>1</v>
      </c>
      <c r="L751" t="s">
        <v>23</v>
      </c>
      <c r="M751" t="s">
        <v>24</v>
      </c>
      <c r="N751">
        <v>46</v>
      </c>
      <c r="O751" t="str" cm="1">
        <f t="array" ref="O751">_xlfn.IFS(N751&gt;=54,"old",N751&gt;=31,"middle age",N751&gt;=18,"adolsent",N751&lt;18,"invalid")</f>
        <v>middle age</v>
      </c>
      <c r="P751" t="s">
        <v>15</v>
      </c>
    </row>
    <row r="752" spans="3:16" x14ac:dyDescent="0.3">
      <c r="C752">
        <v>24485</v>
      </c>
      <c r="D752" t="s">
        <v>37</v>
      </c>
      <c r="E752" t="s">
        <v>38</v>
      </c>
      <c r="F752" s="3">
        <v>40000</v>
      </c>
      <c r="G752">
        <v>2</v>
      </c>
      <c r="H752" t="s">
        <v>13</v>
      </c>
      <c r="I752" t="s">
        <v>28</v>
      </c>
      <c r="J752" t="s">
        <v>18</v>
      </c>
      <c r="K752">
        <v>1</v>
      </c>
      <c r="L752" t="s">
        <v>23</v>
      </c>
      <c r="M752" t="s">
        <v>24</v>
      </c>
      <c r="N752">
        <v>52</v>
      </c>
      <c r="O752" t="str" cm="1">
        <f t="array" ref="O752">_xlfn.IFS(N752&gt;=54,"old",N752&gt;=31,"middle age",N752&gt;=18,"adolsent",N752&lt;18,"invalid")</f>
        <v>middle age</v>
      </c>
      <c r="P752" t="s">
        <v>15</v>
      </c>
    </row>
    <row r="753" spans="3:16" x14ac:dyDescent="0.3">
      <c r="C753">
        <v>24496</v>
      </c>
      <c r="D753" t="s">
        <v>37</v>
      </c>
      <c r="E753" t="s">
        <v>39</v>
      </c>
      <c r="F753" s="3">
        <v>40000</v>
      </c>
      <c r="G753">
        <v>0</v>
      </c>
      <c r="H753" t="s">
        <v>27</v>
      </c>
      <c r="I753" t="s">
        <v>14</v>
      </c>
      <c r="J753" t="s">
        <v>18</v>
      </c>
      <c r="K753">
        <v>2</v>
      </c>
      <c r="L753" t="s">
        <v>16</v>
      </c>
      <c r="M753" t="s">
        <v>32</v>
      </c>
      <c r="N753">
        <v>28</v>
      </c>
      <c r="O753" t="str" cm="1">
        <f t="array" ref="O753">_xlfn.IFS(N753&gt;=54,"old",N753&gt;=31,"middle age",N753&gt;=18,"adolsent",N753&lt;18,"invalid")</f>
        <v>adolsent</v>
      </c>
      <c r="P753" t="s">
        <v>15</v>
      </c>
    </row>
    <row r="754" spans="3:16" x14ac:dyDescent="0.3">
      <c r="C754">
        <v>24514</v>
      </c>
      <c r="D754" t="s">
        <v>36</v>
      </c>
      <c r="E754" t="s">
        <v>38</v>
      </c>
      <c r="F754" s="3">
        <v>40000</v>
      </c>
      <c r="G754">
        <v>0</v>
      </c>
      <c r="H754" t="s">
        <v>19</v>
      </c>
      <c r="I754" t="s">
        <v>14</v>
      </c>
      <c r="J754" t="s">
        <v>15</v>
      </c>
      <c r="K754">
        <v>1</v>
      </c>
      <c r="L754" t="s">
        <v>23</v>
      </c>
      <c r="M754" t="s">
        <v>32</v>
      </c>
      <c r="N754">
        <v>30</v>
      </c>
      <c r="O754" t="str" cm="1">
        <f t="array" ref="O754">_xlfn.IFS(N754&gt;=54,"old",N754&gt;=31,"middle age",N754&gt;=18,"adolsent",N754&lt;18,"invalid")</f>
        <v>adolsent</v>
      </c>
      <c r="P754" t="s">
        <v>18</v>
      </c>
    </row>
    <row r="755" spans="3:16" x14ac:dyDescent="0.3">
      <c r="C755">
        <v>24584</v>
      </c>
      <c r="D755" t="s">
        <v>37</v>
      </c>
      <c r="E755" t="s">
        <v>38</v>
      </c>
      <c r="F755" s="3">
        <v>60000</v>
      </c>
      <c r="G755">
        <v>0</v>
      </c>
      <c r="H755" t="s">
        <v>13</v>
      </c>
      <c r="I755" t="s">
        <v>21</v>
      </c>
      <c r="J755" t="s">
        <v>18</v>
      </c>
      <c r="K755">
        <v>3</v>
      </c>
      <c r="L755" t="s">
        <v>22</v>
      </c>
      <c r="M755" t="s">
        <v>24</v>
      </c>
      <c r="N755">
        <v>31</v>
      </c>
      <c r="O755" t="str" cm="1">
        <f t="array" ref="O755">_xlfn.IFS(N755&gt;=54,"old",N755&gt;=31,"middle age",N755&gt;=18,"adolsent",N755&lt;18,"invalid")</f>
        <v>middle age</v>
      </c>
      <c r="P755" t="s">
        <v>18</v>
      </c>
    </row>
    <row r="756" spans="3:16" x14ac:dyDescent="0.3">
      <c r="C756">
        <v>24611</v>
      </c>
      <c r="D756" t="s">
        <v>37</v>
      </c>
      <c r="E756" t="s">
        <v>38</v>
      </c>
      <c r="F756" s="3">
        <v>90000</v>
      </c>
      <c r="G756">
        <v>0</v>
      </c>
      <c r="H756" t="s">
        <v>13</v>
      </c>
      <c r="I756" t="s">
        <v>21</v>
      </c>
      <c r="J756" t="s">
        <v>18</v>
      </c>
      <c r="K756">
        <v>4</v>
      </c>
      <c r="L756" t="s">
        <v>30</v>
      </c>
      <c r="M756" t="s">
        <v>24</v>
      </c>
      <c r="N756">
        <v>35</v>
      </c>
      <c r="O756" t="str" cm="1">
        <f t="array" ref="O756">_xlfn.IFS(N756&gt;=54,"old",N756&gt;=31,"middle age",N756&gt;=18,"adolsent",N756&lt;18,"invalid")</f>
        <v>middle age</v>
      </c>
      <c r="P756" t="s">
        <v>15</v>
      </c>
    </row>
    <row r="757" spans="3:16" x14ac:dyDescent="0.3">
      <c r="C757">
        <v>24637</v>
      </c>
      <c r="D757" t="s">
        <v>36</v>
      </c>
      <c r="E757" t="s">
        <v>38</v>
      </c>
      <c r="F757" s="3">
        <v>40000</v>
      </c>
      <c r="G757">
        <v>4</v>
      </c>
      <c r="H757" t="s">
        <v>27</v>
      </c>
      <c r="I757" t="s">
        <v>21</v>
      </c>
      <c r="J757" t="s">
        <v>15</v>
      </c>
      <c r="K757">
        <v>2</v>
      </c>
      <c r="L757" t="s">
        <v>30</v>
      </c>
      <c r="M757" t="s">
        <v>32</v>
      </c>
      <c r="N757">
        <v>64</v>
      </c>
      <c r="O757" t="str" cm="1">
        <f t="array" ref="O757">_xlfn.IFS(N757&gt;=54,"old",N757&gt;=31,"middle age",N757&gt;=18,"adolsent",N757&lt;18,"invalid")</f>
        <v>old</v>
      </c>
      <c r="P757" t="s">
        <v>18</v>
      </c>
    </row>
    <row r="758" spans="3:16" x14ac:dyDescent="0.3">
      <c r="C758">
        <v>24643</v>
      </c>
      <c r="D758" t="s">
        <v>37</v>
      </c>
      <c r="E758" t="s">
        <v>39</v>
      </c>
      <c r="F758" s="3">
        <v>60000</v>
      </c>
      <c r="G758">
        <v>4</v>
      </c>
      <c r="H758" t="s">
        <v>13</v>
      </c>
      <c r="I758" t="s">
        <v>28</v>
      </c>
      <c r="J758" t="s">
        <v>15</v>
      </c>
      <c r="K758">
        <v>2</v>
      </c>
      <c r="L758" t="s">
        <v>30</v>
      </c>
      <c r="M758" t="s">
        <v>32</v>
      </c>
      <c r="N758">
        <v>63</v>
      </c>
      <c r="O758" t="str" cm="1">
        <f t="array" ref="O758">_xlfn.IFS(N758&gt;=54,"old",N758&gt;=31,"middle age",N758&gt;=18,"adolsent",N758&lt;18,"invalid")</f>
        <v>old</v>
      </c>
      <c r="P758" t="s">
        <v>18</v>
      </c>
    </row>
    <row r="759" spans="3:16" x14ac:dyDescent="0.3">
      <c r="C759">
        <v>24725</v>
      </c>
      <c r="D759" t="s">
        <v>36</v>
      </c>
      <c r="E759" t="s">
        <v>39</v>
      </c>
      <c r="F759" s="3">
        <v>40000</v>
      </c>
      <c r="G759">
        <v>3</v>
      </c>
      <c r="H759" t="s">
        <v>19</v>
      </c>
      <c r="I759" t="s">
        <v>20</v>
      </c>
      <c r="J759" t="s">
        <v>15</v>
      </c>
      <c r="K759">
        <v>0</v>
      </c>
      <c r="L759" t="s">
        <v>26</v>
      </c>
      <c r="M759" t="s">
        <v>32</v>
      </c>
      <c r="N759">
        <v>31</v>
      </c>
      <c r="O759" t="str" cm="1">
        <f t="array" ref="O759">_xlfn.IFS(N759&gt;=54,"old",N759&gt;=31,"middle age",N759&gt;=18,"adolsent",N759&lt;18,"invalid")</f>
        <v>middle age</v>
      </c>
      <c r="P759" t="s">
        <v>18</v>
      </c>
    </row>
    <row r="760" spans="3:16" x14ac:dyDescent="0.3">
      <c r="C760">
        <v>24738</v>
      </c>
      <c r="D760" t="s">
        <v>36</v>
      </c>
      <c r="E760" t="s">
        <v>39</v>
      </c>
      <c r="F760" s="3">
        <v>40000</v>
      </c>
      <c r="G760">
        <v>1</v>
      </c>
      <c r="H760" t="s">
        <v>19</v>
      </c>
      <c r="I760" t="s">
        <v>20</v>
      </c>
      <c r="J760" t="s">
        <v>15</v>
      </c>
      <c r="K760">
        <v>1</v>
      </c>
      <c r="L760" t="s">
        <v>26</v>
      </c>
      <c r="M760" t="s">
        <v>32</v>
      </c>
      <c r="N760">
        <v>51</v>
      </c>
      <c r="O760" t="str" cm="1">
        <f t="array" ref="O760">_xlfn.IFS(N760&gt;=54,"old",N760&gt;=31,"middle age",N760&gt;=18,"adolsent",N760&lt;18,"invalid")</f>
        <v>middle age</v>
      </c>
      <c r="P760" t="s">
        <v>15</v>
      </c>
    </row>
    <row r="761" spans="3:16" x14ac:dyDescent="0.3">
      <c r="C761">
        <v>24745</v>
      </c>
      <c r="D761" t="s">
        <v>37</v>
      </c>
      <c r="E761" t="s">
        <v>39</v>
      </c>
      <c r="F761" s="3">
        <v>30000</v>
      </c>
      <c r="G761">
        <v>2</v>
      </c>
      <c r="H761" t="s">
        <v>27</v>
      </c>
      <c r="I761" t="s">
        <v>14</v>
      </c>
      <c r="J761" t="s">
        <v>18</v>
      </c>
      <c r="K761">
        <v>2</v>
      </c>
      <c r="L761" t="s">
        <v>16</v>
      </c>
      <c r="M761" t="s">
        <v>32</v>
      </c>
      <c r="N761">
        <v>49</v>
      </c>
      <c r="O761" t="str" cm="1">
        <f t="array" ref="O761">_xlfn.IFS(N761&gt;=54,"old",N761&gt;=31,"middle age",N761&gt;=18,"adolsent",N761&lt;18,"invalid")</f>
        <v>middle age</v>
      </c>
      <c r="P761" t="s">
        <v>18</v>
      </c>
    </row>
    <row r="762" spans="3:16" x14ac:dyDescent="0.3">
      <c r="C762">
        <v>24801</v>
      </c>
      <c r="D762" t="s">
        <v>37</v>
      </c>
      <c r="E762" t="s">
        <v>38</v>
      </c>
      <c r="F762" s="3">
        <v>60000</v>
      </c>
      <c r="G762">
        <v>1</v>
      </c>
      <c r="H762" t="s">
        <v>31</v>
      </c>
      <c r="I762" t="s">
        <v>21</v>
      </c>
      <c r="J762" t="s">
        <v>15</v>
      </c>
      <c r="K762">
        <v>0</v>
      </c>
      <c r="L762" t="s">
        <v>22</v>
      </c>
      <c r="M762" t="s">
        <v>32</v>
      </c>
      <c r="N762">
        <v>35</v>
      </c>
      <c r="O762" t="str" cm="1">
        <f t="array" ref="O762">_xlfn.IFS(N762&gt;=54,"old",N762&gt;=31,"middle age",N762&gt;=18,"adolsent",N762&lt;18,"invalid")</f>
        <v>middle age</v>
      </c>
      <c r="P762" t="s">
        <v>15</v>
      </c>
    </row>
    <row r="763" spans="3:16" x14ac:dyDescent="0.3">
      <c r="C763">
        <v>24842</v>
      </c>
      <c r="D763" t="s">
        <v>37</v>
      </c>
      <c r="E763" t="s">
        <v>39</v>
      </c>
      <c r="F763" s="3">
        <v>90000</v>
      </c>
      <c r="G763">
        <v>3</v>
      </c>
      <c r="H763" t="s">
        <v>27</v>
      </c>
      <c r="I763" t="s">
        <v>21</v>
      </c>
      <c r="J763" t="s">
        <v>18</v>
      </c>
      <c r="K763">
        <v>1</v>
      </c>
      <c r="L763" t="s">
        <v>22</v>
      </c>
      <c r="M763" t="s">
        <v>17</v>
      </c>
      <c r="N763">
        <v>51</v>
      </c>
      <c r="O763" t="str" cm="1">
        <f t="array" ref="O763">_xlfn.IFS(N763&gt;=54,"old",N763&gt;=31,"middle age",N763&gt;=18,"adolsent",N763&lt;18,"invalid")</f>
        <v>middle age</v>
      </c>
      <c r="P763" t="s">
        <v>18</v>
      </c>
    </row>
    <row r="764" spans="3:16" x14ac:dyDescent="0.3">
      <c r="C764">
        <v>24857</v>
      </c>
      <c r="D764" t="s">
        <v>36</v>
      </c>
      <c r="E764" t="s">
        <v>39</v>
      </c>
      <c r="F764" s="3">
        <v>130000</v>
      </c>
      <c r="G764">
        <v>3</v>
      </c>
      <c r="H764" t="s">
        <v>27</v>
      </c>
      <c r="I764" t="s">
        <v>21</v>
      </c>
      <c r="J764" t="s">
        <v>15</v>
      </c>
      <c r="K764">
        <v>4</v>
      </c>
      <c r="L764" t="s">
        <v>16</v>
      </c>
      <c r="M764" t="s">
        <v>17</v>
      </c>
      <c r="N764">
        <v>52</v>
      </c>
      <c r="O764" t="str" cm="1">
        <f t="array" ref="O764">_xlfn.IFS(N764&gt;=54,"old",N764&gt;=31,"middle age",N764&gt;=18,"adolsent",N764&lt;18,"invalid")</f>
        <v>middle age</v>
      </c>
      <c r="P764" t="s">
        <v>18</v>
      </c>
    </row>
    <row r="765" spans="3:16" x14ac:dyDescent="0.3">
      <c r="C765">
        <v>24871</v>
      </c>
      <c r="D765" t="s">
        <v>37</v>
      </c>
      <c r="E765" t="s">
        <v>39</v>
      </c>
      <c r="F765" s="3">
        <v>90000</v>
      </c>
      <c r="G765">
        <v>4</v>
      </c>
      <c r="H765" t="s">
        <v>27</v>
      </c>
      <c r="I765" t="s">
        <v>28</v>
      </c>
      <c r="J765" t="s">
        <v>18</v>
      </c>
      <c r="K765">
        <v>3</v>
      </c>
      <c r="L765" t="s">
        <v>23</v>
      </c>
      <c r="M765" t="s">
        <v>17</v>
      </c>
      <c r="N765">
        <v>56</v>
      </c>
      <c r="O765" t="str" cm="1">
        <f t="array" ref="O765">_xlfn.IFS(N765&gt;=54,"old",N765&gt;=31,"middle age",N765&gt;=18,"adolsent",N765&lt;18,"invalid")</f>
        <v>old</v>
      </c>
      <c r="P765" t="s">
        <v>18</v>
      </c>
    </row>
    <row r="766" spans="3:16" x14ac:dyDescent="0.3">
      <c r="C766">
        <v>24898</v>
      </c>
      <c r="D766" t="s">
        <v>37</v>
      </c>
      <c r="E766" t="s">
        <v>39</v>
      </c>
      <c r="F766" s="3">
        <v>80000</v>
      </c>
      <c r="G766">
        <v>0</v>
      </c>
      <c r="H766" t="s">
        <v>13</v>
      </c>
      <c r="I766" t="s">
        <v>21</v>
      </c>
      <c r="J766" t="s">
        <v>15</v>
      </c>
      <c r="K766">
        <v>3</v>
      </c>
      <c r="L766" t="s">
        <v>30</v>
      </c>
      <c r="M766" t="s">
        <v>24</v>
      </c>
      <c r="N766">
        <v>32</v>
      </c>
      <c r="O766" t="str" cm="1">
        <f t="array" ref="O766">_xlfn.IFS(N766&gt;=54,"old",N766&gt;=31,"middle age",N766&gt;=18,"adolsent",N766&lt;18,"invalid")</f>
        <v>middle age</v>
      </c>
      <c r="P766" t="s">
        <v>18</v>
      </c>
    </row>
    <row r="767" spans="3:16" x14ac:dyDescent="0.3">
      <c r="C767">
        <v>24901</v>
      </c>
      <c r="D767" t="s">
        <v>37</v>
      </c>
      <c r="E767" t="s">
        <v>38</v>
      </c>
      <c r="F767" s="3">
        <v>110000</v>
      </c>
      <c r="G767">
        <v>0</v>
      </c>
      <c r="H767" t="s">
        <v>19</v>
      </c>
      <c r="I767" t="s">
        <v>28</v>
      </c>
      <c r="J767" t="s">
        <v>18</v>
      </c>
      <c r="K767">
        <v>3</v>
      </c>
      <c r="L767" t="s">
        <v>30</v>
      </c>
      <c r="M767" t="s">
        <v>24</v>
      </c>
      <c r="N767">
        <v>32</v>
      </c>
      <c r="O767" t="str" cm="1">
        <f t="array" ref="O767">_xlfn.IFS(N767&gt;=54,"old",N767&gt;=31,"middle age",N767&gt;=18,"adolsent",N767&lt;18,"invalid")</f>
        <v>middle age</v>
      </c>
      <c r="P767" t="s">
        <v>15</v>
      </c>
    </row>
    <row r="768" spans="3:16" x14ac:dyDescent="0.3">
      <c r="C768">
        <v>24941</v>
      </c>
      <c r="D768" t="s">
        <v>36</v>
      </c>
      <c r="E768" t="s">
        <v>38</v>
      </c>
      <c r="F768" s="3">
        <v>60000</v>
      </c>
      <c r="G768">
        <v>3</v>
      </c>
      <c r="H768" t="s">
        <v>13</v>
      </c>
      <c r="I768" t="s">
        <v>28</v>
      </c>
      <c r="J768" t="s">
        <v>15</v>
      </c>
      <c r="K768">
        <v>2</v>
      </c>
      <c r="L768" t="s">
        <v>30</v>
      </c>
      <c r="M768" t="s">
        <v>32</v>
      </c>
      <c r="N768">
        <v>66</v>
      </c>
      <c r="O768" t="str" cm="1">
        <f t="array" ref="O768">_xlfn.IFS(N768&gt;=54,"old",N768&gt;=31,"middle age",N768&gt;=18,"adolsent",N768&lt;18,"invalid")</f>
        <v>old</v>
      </c>
      <c r="P768" t="s">
        <v>18</v>
      </c>
    </row>
    <row r="769" spans="3:16" x14ac:dyDescent="0.3">
      <c r="C769">
        <v>24943</v>
      </c>
      <c r="D769" t="s">
        <v>36</v>
      </c>
      <c r="E769" t="s">
        <v>38</v>
      </c>
      <c r="F769" s="3">
        <v>60000</v>
      </c>
      <c r="G769">
        <v>3</v>
      </c>
      <c r="H769" t="s">
        <v>13</v>
      </c>
      <c r="I769" t="s">
        <v>28</v>
      </c>
      <c r="J769" t="s">
        <v>15</v>
      </c>
      <c r="K769">
        <v>2</v>
      </c>
      <c r="L769" t="s">
        <v>30</v>
      </c>
      <c r="M769" t="s">
        <v>32</v>
      </c>
      <c r="N769">
        <v>66</v>
      </c>
      <c r="O769" t="str" cm="1">
        <f t="array" ref="O769">_xlfn.IFS(N769&gt;=54,"old",N769&gt;=31,"middle age",N769&gt;=18,"adolsent",N769&lt;18,"invalid")</f>
        <v>old</v>
      </c>
      <c r="P769" t="s">
        <v>18</v>
      </c>
    </row>
    <row r="770" spans="3:16" x14ac:dyDescent="0.3">
      <c r="C770">
        <v>24955</v>
      </c>
      <c r="D770" t="s">
        <v>37</v>
      </c>
      <c r="E770" t="s">
        <v>38</v>
      </c>
      <c r="F770" s="3">
        <v>30000</v>
      </c>
      <c r="G770">
        <v>5</v>
      </c>
      <c r="H770" t="s">
        <v>29</v>
      </c>
      <c r="I770" t="s">
        <v>14</v>
      </c>
      <c r="J770" t="s">
        <v>15</v>
      </c>
      <c r="K770">
        <v>3</v>
      </c>
      <c r="L770" t="s">
        <v>30</v>
      </c>
      <c r="M770" t="s">
        <v>32</v>
      </c>
      <c r="N770">
        <v>60</v>
      </c>
      <c r="O770" t="str" cm="1">
        <f t="array" ref="O770">_xlfn.IFS(N770&gt;=54,"old",N770&gt;=31,"middle age",N770&gt;=18,"adolsent",N770&lt;18,"invalid")</f>
        <v>old</v>
      </c>
      <c r="P770" t="s">
        <v>15</v>
      </c>
    </row>
    <row r="771" spans="3:16" x14ac:dyDescent="0.3">
      <c r="C771">
        <v>24958</v>
      </c>
      <c r="D771" t="s">
        <v>37</v>
      </c>
      <c r="E771" t="s">
        <v>39</v>
      </c>
      <c r="F771" s="3">
        <v>40000</v>
      </c>
      <c r="G771">
        <v>5</v>
      </c>
      <c r="H771" t="s">
        <v>27</v>
      </c>
      <c r="I771" t="s">
        <v>21</v>
      </c>
      <c r="J771" t="s">
        <v>18</v>
      </c>
      <c r="K771">
        <v>3</v>
      </c>
      <c r="L771" t="s">
        <v>22</v>
      </c>
      <c r="M771" t="s">
        <v>32</v>
      </c>
      <c r="N771">
        <v>60</v>
      </c>
      <c r="O771" t="str" cm="1">
        <f t="array" ref="O771">_xlfn.IFS(N771&gt;=54,"old",N771&gt;=31,"middle age",N771&gt;=18,"adolsent",N771&lt;18,"invalid")</f>
        <v>old</v>
      </c>
      <c r="P771" t="s">
        <v>15</v>
      </c>
    </row>
    <row r="772" spans="3:16" x14ac:dyDescent="0.3">
      <c r="C772">
        <v>24979</v>
      </c>
      <c r="D772" t="s">
        <v>36</v>
      </c>
      <c r="E772" t="s">
        <v>39</v>
      </c>
      <c r="F772" s="3">
        <v>60000</v>
      </c>
      <c r="G772">
        <v>2</v>
      </c>
      <c r="H772" t="s">
        <v>19</v>
      </c>
      <c r="I772" t="s">
        <v>21</v>
      </c>
      <c r="J772" t="s">
        <v>15</v>
      </c>
      <c r="K772">
        <v>2</v>
      </c>
      <c r="L772" t="s">
        <v>22</v>
      </c>
      <c r="M772" t="s">
        <v>32</v>
      </c>
      <c r="N772">
        <v>57</v>
      </c>
      <c r="O772" t="str" cm="1">
        <f t="array" ref="O772">_xlfn.IFS(N772&gt;=54,"old",N772&gt;=31,"middle age",N772&gt;=18,"adolsent",N772&lt;18,"invalid")</f>
        <v>old</v>
      </c>
      <c r="P772" t="s">
        <v>15</v>
      </c>
    </row>
    <row r="773" spans="3:16" x14ac:dyDescent="0.3">
      <c r="C773">
        <v>24981</v>
      </c>
      <c r="D773" t="s">
        <v>36</v>
      </c>
      <c r="E773" t="s">
        <v>38</v>
      </c>
      <c r="F773" s="3">
        <v>60000</v>
      </c>
      <c r="G773">
        <v>2</v>
      </c>
      <c r="H773" t="s">
        <v>19</v>
      </c>
      <c r="I773" t="s">
        <v>21</v>
      </c>
      <c r="J773" t="s">
        <v>15</v>
      </c>
      <c r="K773">
        <v>2</v>
      </c>
      <c r="L773" t="s">
        <v>30</v>
      </c>
      <c r="M773" t="s">
        <v>32</v>
      </c>
      <c r="N773">
        <v>56</v>
      </c>
      <c r="O773" t="str" cm="1">
        <f t="array" ref="O773">_xlfn.IFS(N773&gt;=54,"old",N773&gt;=31,"middle age",N773&gt;=18,"adolsent",N773&lt;18,"invalid")</f>
        <v>old</v>
      </c>
      <c r="P773" t="s">
        <v>18</v>
      </c>
    </row>
    <row r="774" spans="3:16" x14ac:dyDescent="0.3">
      <c r="C774">
        <v>25006</v>
      </c>
      <c r="D774" t="s">
        <v>37</v>
      </c>
      <c r="E774" t="s">
        <v>39</v>
      </c>
      <c r="F774" s="3">
        <v>30000</v>
      </c>
      <c r="G774">
        <v>0</v>
      </c>
      <c r="H774" t="s">
        <v>19</v>
      </c>
      <c r="I774" t="s">
        <v>14</v>
      </c>
      <c r="J774" t="s">
        <v>15</v>
      </c>
      <c r="K774">
        <v>1</v>
      </c>
      <c r="L774" t="s">
        <v>23</v>
      </c>
      <c r="M774" t="s">
        <v>32</v>
      </c>
      <c r="N774">
        <v>28</v>
      </c>
      <c r="O774" t="str" cm="1">
        <f t="array" ref="O774">_xlfn.IFS(N774&gt;=54,"old",N774&gt;=31,"middle age",N774&gt;=18,"adolsent",N774&lt;18,"invalid")</f>
        <v>adolsent</v>
      </c>
      <c r="P774" t="s">
        <v>18</v>
      </c>
    </row>
    <row r="775" spans="3:16" x14ac:dyDescent="0.3">
      <c r="C775">
        <v>25026</v>
      </c>
      <c r="D775" t="s">
        <v>36</v>
      </c>
      <c r="E775" t="s">
        <v>38</v>
      </c>
      <c r="F775" s="3">
        <v>20000</v>
      </c>
      <c r="G775">
        <v>2</v>
      </c>
      <c r="H775" t="s">
        <v>29</v>
      </c>
      <c r="I775" t="s">
        <v>20</v>
      </c>
      <c r="J775" t="s">
        <v>15</v>
      </c>
      <c r="K775">
        <v>3</v>
      </c>
      <c r="L775" t="s">
        <v>23</v>
      </c>
      <c r="M775" t="s">
        <v>24</v>
      </c>
      <c r="N775">
        <v>54</v>
      </c>
      <c r="O775" t="str" cm="1">
        <f t="array" ref="O775">_xlfn.IFS(N775&gt;=54,"old",N775&gt;=31,"middle age",N775&gt;=18,"adolsent",N775&lt;18,"invalid")</f>
        <v>old</v>
      </c>
      <c r="P775" t="s">
        <v>18</v>
      </c>
    </row>
    <row r="776" spans="3:16" x14ac:dyDescent="0.3">
      <c r="C776">
        <v>25041</v>
      </c>
      <c r="D776" t="s">
        <v>37</v>
      </c>
      <c r="E776" t="s">
        <v>38</v>
      </c>
      <c r="F776" s="3">
        <v>40000</v>
      </c>
      <c r="G776">
        <v>0</v>
      </c>
      <c r="H776" t="s">
        <v>27</v>
      </c>
      <c r="I776" t="s">
        <v>14</v>
      </c>
      <c r="J776" t="s">
        <v>15</v>
      </c>
      <c r="K776">
        <v>2</v>
      </c>
      <c r="L776" t="s">
        <v>23</v>
      </c>
      <c r="M776" t="s">
        <v>32</v>
      </c>
      <c r="N776">
        <v>31</v>
      </c>
      <c r="O776" t="str" cm="1">
        <f t="array" ref="O776">_xlfn.IFS(N776&gt;=54,"old",N776&gt;=31,"middle age",N776&gt;=18,"adolsent",N776&lt;18,"invalid")</f>
        <v>middle age</v>
      </c>
      <c r="P776" t="s">
        <v>18</v>
      </c>
    </row>
    <row r="777" spans="3:16" x14ac:dyDescent="0.3">
      <c r="C777">
        <v>25058</v>
      </c>
      <c r="D777" t="s">
        <v>36</v>
      </c>
      <c r="E777" t="s">
        <v>38</v>
      </c>
      <c r="F777" s="3">
        <v>100000</v>
      </c>
      <c r="G777">
        <v>1</v>
      </c>
      <c r="H777" t="s">
        <v>13</v>
      </c>
      <c r="I777" t="s">
        <v>28</v>
      </c>
      <c r="J777" t="s">
        <v>15</v>
      </c>
      <c r="K777">
        <v>3</v>
      </c>
      <c r="L777" t="s">
        <v>22</v>
      </c>
      <c r="M777" t="s">
        <v>24</v>
      </c>
      <c r="N777">
        <v>47</v>
      </c>
      <c r="O777" t="str" cm="1">
        <f t="array" ref="O777">_xlfn.IFS(N777&gt;=54,"old",N777&gt;=31,"middle age",N777&gt;=18,"adolsent",N777&lt;18,"invalid")</f>
        <v>middle age</v>
      </c>
      <c r="P777" t="s">
        <v>18</v>
      </c>
    </row>
    <row r="778" spans="3:16" x14ac:dyDescent="0.3">
      <c r="C778">
        <v>25065</v>
      </c>
      <c r="D778" t="s">
        <v>36</v>
      </c>
      <c r="E778" t="s">
        <v>38</v>
      </c>
      <c r="F778" s="3">
        <v>70000</v>
      </c>
      <c r="G778">
        <v>2</v>
      </c>
      <c r="H778" t="s">
        <v>29</v>
      </c>
      <c r="I778" t="s">
        <v>14</v>
      </c>
      <c r="J778" t="s">
        <v>15</v>
      </c>
      <c r="K778">
        <v>2</v>
      </c>
      <c r="L778" t="s">
        <v>23</v>
      </c>
      <c r="M778" t="s">
        <v>32</v>
      </c>
      <c r="N778">
        <v>48</v>
      </c>
      <c r="O778" t="str" cm="1">
        <f t="array" ref="O778">_xlfn.IFS(N778&gt;=54,"old",N778&gt;=31,"middle age",N778&gt;=18,"adolsent",N778&lt;18,"invalid")</f>
        <v>middle age</v>
      </c>
      <c r="P778" t="s">
        <v>18</v>
      </c>
    </row>
    <row r="779" spans="3:16" x14ac:dyDescent="0.3">
      <c r="C779">
        <v>25074</v>
      </c>
      <c r="D779" t="s">
        <v>36</v>
      </c>
      <c r="E779" t="s">
        <v>39</v>
      </c>
      <c r="F779" s="3">
        <v>70000</v>
      </c>
      <c r="G779">
        <v>4</v>
      </c>
      <c r="H779" t="s">
        <v>13</v>
      </c>
      <c r="I779" t="s">
        <v>21</v>
      </c>
      <c r="J779" t="s">
        <v>15</v>
      </c>
      <c r="K779">
        <v>2</v>
      </c>
      <c r="L779" t="s">
        <v>22</v>
      </c>
      <c r="M779" t="s">
        <v>32</v>
      </c>
      <c r="N779">
        <v>42</v>
      </c>
      <c r="O779" t="str" cm="1">
        <f t="array" ref="O779">_xlfn.IFS(N779&gt;=54,"old",N779&gt;=31,"middle age",N779&gt;=18,"adolsent",N779&lt;18,"invalid")</f>
        <v>middle age</v>
      </c>
      <c r="P779" t="s">
        <v>15</v>
      </c>
    </row>
    <row r="780" spans="3:16" x14ac:dyDescent="0.3">
      <c r="C780">
        <v>25101</v>
      </c>
      <c r="D780" t="s">
        <v>36</v>
      </c>
      <c r="E780" t="s">
        <v>38</v>
      </c>
      <c r="F780" s="3">
        <v>60000</v>
      </c>
      <c r="G780">
        <v>5</v>
      </c>
      <c r="H780" t="s">
        <v>13</v>
      </c>
      <c r="I780" t="s">
        <v>21</v>
      </c>
      <c r="J780" t="s">
        <v>15</v>
      </c>
      <c r="K780">
        <v>1</v>
      </c>
      <c r="L780" t="s">
        <v>22</v>
      </c>
      <c r="M780" t="s">
        <v>32</v>
      </c>
      <c r="N780">
        <v>47</v>
      </c>
      <c r="O780" t="str" cm="1">
        <f t="array" ref="O780">_xlfn.IFS(N780&gt;=54,"old",N780&gt;=31,"middle age",N780&gt;=18,"adolsent",N780&lt;18,"invalid")</f>
        <v>middle age</v>
      </c>
      <c r="P780" t="s">
        <v>18</v>
      </c>
    </row>
    <row r="781" spans="3:16" x14ac:dyDescent="0.3">
      <c r="C781">
        <v>25148</v>
      </c>
      <c r="D781" t="s">
        <v>36</v>
      </c>
      <c r="E781" t="s">
        <v>38</v>
      </c>
      <c r="F781" s="3">
        <v>60000</v>
      </c>
      <c r="G781">
        <v>2</v>
      </c>
      <c r="H781" t="s">
        <v>27</v>
      </c>
      <c r="I781" t="s">
        <v>21</v>
      </c>
      <c r="J781" t="s">
        <v>18</v>
      </c>
      <c r="K781">
        <v>2</v>
      </c>
      <c r="L781" t="s">
        <v>26</v>
      </c>
      <c r="M781" t="s">
        <v>32</v>
      </c>
      <c r="N781">
        <v>48</v>
      </c>
      <c r="O781" t="str" cm="1">
        <f t="array" ref="O781">_xlfn.IFS(N781&gt;=54,"old",N781&gt;=31,"middle age",N781&gt;=18,"adolsent",N781&lt;18,"invalid")</f>
        <v>middle age</v>
      </c>
      <c r="P781" t="s">
        <v>15</v>
      </c>
    </row>
    <row r="782" spans="3:16" x14ac:dyDescent="0.3">
      <c r="C782">
        <v>25184</v>
      </c>
      <c r="D782" t="s">
        <v>37</v>
      </c>
      <c r="E782" t="s">
        <v>38</v>
      </c>
      <c r="F782" s="3">
        <v>110000</v>
      </c>
      <c r="G782">
        <v>1</v>
      </c>
      <c r="H782" t="s">
        <v>19</v>
      </c>
      <c r="I782" t="s">
        <v>21</v>
      </c>
      <c r="J782" t="s">
        <v>15</v>
      </c>
      <c r="K782">
        <v>4</v>
      </c>
      <c r="L782" t="s">
        <v>23</v>
      </c>
      <c r="M782" t="s">
        <v>32</v>
      </c>
      <c r="N782">
        <v>45</v>
      </c>
      <c r="O782" t="str" cm="1">
        <f t="array" ref="O782">_xlfn.IFS(N782&gt;=54,"old",N782&gt;=31,"middle age",N782&gt;=18,"adolsent",N782&lt;18,"invalid")</f>
        <v>middle age</v>
      </c>
      <c r="P782" t="s">
        <v>15</v>
      </c>
    </row>
    <row r="783" spans="3:16" x14ac:dyDescent="0.3">
      <c r="C783">
        <v>25241</v>
      </c>
      <c r="D783" t="s">
        <v>36</v>
      </c>
      <c r="E783" t="s">
        <v>38</v>
      </c>
      <c r="F783" s="3">
        <v>90000</v>
      </c>
      <c r="G783">
        <v>2</v>
      </c>
      <c r="H783" t="s">
        <v>13</v>
      </c>
      <c r="I783" t="s">
        <v>21</v>
      </c>
      <c r="J783" t="s">
        <v>15</v>
      </c>
      <c r="K783">
        <v>1</v>
      </c>
      <c r="L783" t="s">
        <v>23</v>
      </c>
      <c r="M783" t="s">
        <v>24</v>
      </c>
      <c r="N783">
        <v>47</v>
      </c>
      <c r="O783" t="str" cm="1">
        <f t="array" ref="O783">_xlfn.IFS(N783&gt;=54,"old",N783&gt;=31,"middle age",N783&gt;=18,"adolsent",N783&lt;18,"invalid")</f>
        <v>middle age</v>
      </c>
      <c r="P783" t="s">
        <v>18</v>
      </c>
    </row>
    <row r="784" spans="3:16" x14ac:dyDescent="0.3">
      <c r="C784">
        <v>25261</v>
      </c>
      <c r="D784" t="s">
        <v>36</v>
      </c>
      <c r="E784" t="s">
        <v>38</v>
      </c>
      <c r="F784" s="3">
        <v>40000</v>
      </c>
      <c r="G784">
        <v>0</v>
      </c>
      <c r="H784" t="s">
        <v>27</v>
      </c>
      <c r="I784" t="s">
        <v>14</v>
      </c>
      <c r="J784" t="s">
        <v>15</v>
      </c>
      <c r="K784">
        <v>2</v>
      </c>
      <c r="L784" t="s">
        <v>23</v>
      </c>
      <c r="M784" t="s">
        <v>32</v>
      </c>
      <c r="N784">
        <v>27</v>
      </c>
      <c r="O784" t="str" cm="1">
        <f t="array" ref="O784">_xlfn.IFS(N784&gt;=54,"old",N784&gt;=31,"middle age",N784&gt;=18,"adolsent",N784&lt;18,"invalid")</f>
        <v>adolsent</v>
      </c>
      <c r="P784" t="s">
        <v>18</v>
      </c>
    </row>
    <row r="785" spans="3:16" x14ac:dyDescent="0.3">
      <c r="C785">
        <v>25266</v>
      </c>
      <c r="D785" t="s">
        <v>37</v>
      </c>
      <c r="E785" t="s">
        <v>39</v>
      </c>
      <c r="F785" s="3">
        <v>30000</v>
      </c>
      <c r="G785">
        <v>2</v>
      </c>
      <c r="H785" t="s">
        <v>19</v>
      </c>
      <c r="I785" t="s">
        <v>20</v>
      </c>
      <c r="J785" t="s">
        <v>18</v>
      </c>
      <c r="K785">
        <v>2</v>
      </c>
      <c r="L785" t="s">
        <v>23</v>
      </c>
      <c r="M785" t="s">
        <v>24</v>
      </c>
      <c r="N785">
        <v>67</v>
      </c>
      <c r="O785" t="str" cm="1">
        <f t="array" ref="O785">_xlfn.IFS(N785&gt;=54,"old",N785&gt;=31,"middle age",N785&gt;=18,"adolsent",N785&lt;18,"invalid")</f>
        <v>old</v>
      </c>
      <c r="P785" t="s">
        <v>18</v>
      </c>
    </row>
    <row r="786" spans="3:16" x14ac:dyDescent="0.3">
      <c r="C786">
        <v>25293</v>
      </c>
      <c r="D786" t="s">
        <v>36</v>
      </c>
      <c r="E786" t="s">
        <v>38</v>
      </c>
      <c r="F786" s="3">
        <v>80000</v>
      </c>
      <c r="G786">
        <v>4</v>
      </c>
      <c r="H786" t="s">
        <v>13</v>
      </c>
      <c r="I786" t="s">
        <v>28</v>
      </c>
      <c r="J786" t="s">
        <v>15</v>
      </c>
      <c r="K786">
        <v>0</v>
      </c>
      <c r="L786" t="s">
        <v>26</v>
      </c>
      <c r="M786" t="s">
        <v>32</v>
      </c>
      <c r="N786">
        <v>42</v>
      </c>
      <c r="O786" t="str" cm="1">
        <f t="array" ref="O786">_xlfn.IFS(N786&gt;=54,"old",N786&gt;=31,"middle age",N786&gt;=18,"adolsent",N786&lt;18,"invalid")</f>
        <v>middle age</v>
      </c>
      <c r="P786" t="s">
        <v>18</v>
      </c>
    </row>
    <row r="787" spans="3:16" x14ac:dyDescent="0.3">
      <c r="C787">
        <v>25303</v>
      </c>
      <c r="D787" t="s">
        <v>37</v>
      </c>
      <c r="E787" t="s">
        <v>38</v>
      </c>
      <c r="F787" s="3">
        <v>30000</v>
      </c>
      <c r="G787">
        <v>0</v>
      </c>
      <c r="H787" t="s">
        <v>27</v>
      </c>
      <c r="I787" t="s">
        <v>25</v>
      </c>
      <c r="J787" t="s">
        <v>15</v>
      </c>
      <c r="K787">
        <v>1</v>
      </c>
      <c r="L787" t="s">
        <v>22</v>
      </c>
      <c r="M787" t="s">
        <v>17</v>
      </c>
      <c r="N787">
        <v>33</v>
      </c>
      <c r="O787" t="str" cm="1">
        <f t="array" ref="O787">_xlfn.IFS(N787&gt;=54,"old",N787&gt;=31,"middle age",N787&gt;=18,"adolsent",N787&lt;18,"invalid")</f>
        <v>middle age</v>
      </c>
      <c r="P787" t="s">
        <v>15</v>
      </c>
    </row>
    <row r="788" spans="3:16" x14ac:dyDescent="0.3">
      <c r="C788">
        <v>25307</v>
      </c>
      <c r="D788" t="s">
        <v>36</v>
      </c>
      <c r="E788" t="s">
        <v>39</v>
      </c>
      <c r="F788" s="3">
        <v>40000</v>
      </c>
      <c r="G788">
        <v>1</v>
      </c>
      <c r="H788" t="s">
        <v>13</v>
      </c>
      <c r="I788" t="s">
        <v>14</v>
      </c>
      <c r="J788" t="s">
        <v>15</v>
      </c>
      <c r="K788">
        <v>1</v>
      </c>
      <c r="L788" t="s">
        <v>26</v>
      </c>
      <c r="M788" t="s">
        <v>17</v>
      </c>
      <c r="N788">
        <v>32</v>
      </c>
      <c r="O788" t="str" cm="1">
        <f t="array" ref="O788">_xlfn.IFS(N788&gt;=54,"old",N788&gt;=31,"middle age",N788&gt;=18,"adolsent",N788&lt;18,"invalid")</f>
        <v>middle age</v>
      </c>
      <c r="P788" t="s">
        <v>15</v>
      </c>
    </row>
    <row r="789" spans="3:16" x14ac:dyDescent="0.3">
      <c r="C789">
        <v>25313</v>
      </c>
      <c r="D789" t="s">
        <v>37</v>
      </c>
      <c r="E789" t="s">
        <v>38</v>
      </c>
      <c r="F789" s="3">
        <v>10000</v>
      </c>
      <c r="G789">
        <v>0</v>
      </c>
      <c r="H789" t="s">
        <v>29</v>
      </c>
      <c r="I789" t="s">
        <v>25</v>
      </c>
      <c r="J789" t="s">
        <v>18</v>
      </c>
      <c r="K789">
        <v>2</v>
      </c>
      <c r="L789" t="s">
        <v>26</v>
      </c>
      <c r="M789" t="s">
        <v>17</v>
      </c>
      <c r="N789">
        <v>35</v>
      </c>
      <c r="O789" t="str" cm="1">
        <f t="array" ref="O789">_xlfn.IFS(N789&gt;=54,"old",N789&gt;=31,"middle age",N789&gt;=18,"adolsent",N789&lt;18,"invalid")</f>
        <v>middle age</v>
      </c>
      <c r="P789" t="s">
        <v>18</v>
      </c>
    </row>
    <row r="790" spans="3:16" x14ac:dyDescent="0.3">
      <c r="C790">
        <v>25323</v>
      </c>
      <c r="D790" t="s">
        <v>36</v>
      </c>
      <c r="E790" t="s">
        <v>38</v>
      </c>
      <c r="F790" s="3">
        <v>40000</v>
      </c>
      <c r="G790">
        <v>2</v>
      </c>
      <c r="H790" t="s">
        <v>19</v>
      </c>
      <c r="I790" t="s">
        <v>20</v>
      </c>
      <c r="J790" t="s">
        <v>15</v>
      </c>
      <c r="K790">
        <v>1</v>
      </c>
      <c r="L790" t="s">
        <v>26</v>
      </c>
      <c r="M790" t="s">
        <v>17</v>
      </c>
      <c r="N790">
        <v>35</v>
      </c>
      <c r="O790" t="str" cm="1">
        <f t="array" ref="O790">_xlfn.IFS(N790&gt;=54,"old",N790&gt;=31,"middle age",N790&gt;=18,"adolsent",N790&lt;18,"invalid")</f>
        <v>middle age</v>
      </c>
      <c r="P790" t="s">
        <v>15</v>
      </c>
    </row>
    <row r="791" spans="3:16" x14ac:dyDescent="0.3">
      <c r="C791">
        <v>25329</v>
      </c>
      <c r="D791" t="s">
        <v>37</v>
      </c>
      <c r="E791" t="s">
        <v>39</v>
      </c>
      <c r="F791" s="3">
        <v>40000</v>
      </c>
      <c r="G791">
        <v>3</v>
      </c>
      <c r="H791" t="s">
        <v>19</v>
      </c>
      <c r="I791" t="s">
        <v>20</v>
      </c>
      <c r="J791" t="s">
        <v>18</v>
      </c>
      <c r="K791">
        <v>2</v>
      </c>
      <c r="L791" t="s">
        <v>16</v>
      </c>
      <c r="M791" t="s">
        <v>32</v>
      </c>
      <c r="N791">
        <v>32</v>
      </c>
      <c r="O791" t="str" cm="1">
        <f t="array" ref="O791">_xlfn.IFS(N791&gt;=54,"old",N791&gt;=31,"middle age",N791&gt;=18,"adolsent",N791&lt;18,"invalid")</f>
        <v>middle age</v>
      </c>
      <c r="P791" t="s">
        <v>18</v>
      </c>
    </row>
    <row r="792" spans="3:16" x14ac:dyDescent="0.3">
      <c r="C792">
        <v>25343</v>
      </c>
      <c r="D792" t="s">
        <v>37</v>
      </c>
      <c r="E792" t="s">
        <v>39</v>
      </c>
      <c r="F792" s="3">
        <v>20000</v>
      </c>
      <c r="G792">
        <v>3</v>
      </c>
      <c r="H792" t="s">
        <v>29</v>
      </c>
      <c r="I792" t="s">
        <v>20</v>
      </c>
      <c r="J792" t="s">
        <v>15</v>
      </c>
      <c r="K792">
        <v>2</v>
      </c>
      <c r="L792" t="s">
        <v>26</v>
      </c>
      <c r="M792" t="s">
        <v>32</v>
      </c>
      <c r="N792">
        <v>50</v>
      </c>
      <c r="O792" t="str" cm="1">
        <f t="array" ref="O792">_xlfn.IFS(N792&gt;=54,"old",N792&gt;=31,"middle age",N792&gt;=18,"adolsent",N792&lt;18,"invalid")</f>
        <v>middle age</v>
      </c>
      <c r="P792" t="s">
        <v>18</v>
      </c>
    </row>
    <row r="793" spans="3:16" x14ac:dyDescent="0.3">
      <c r="C793">
        <v>25347</v>
      </c>
      <c r="D793" t="s">
        <v>37</v>
      </c>
      <c r="E793" t="s">
        <v>39</v>
      </c>
      <c r="F793" s="3">
        <v>20000</v>
      </c>
      <c r="G793">
        <v>3</v>
      </c>
      <c r="H793" t="s">
        <v>29</v>
      </c>
      <c r="I793" t="s">
        <v>20</v>
      </c>
      <c r="J793" t="s">
        <v>18</v>
      </c>
      <c r="K793">
        <v>2</v>
      </c>
      <c r="L793" t="s">
        <v>16</v>
      </c>
      <c r="M793" t="s">
        <v>32</v>
      </c>
      <c r="N793">
        <v>49</v>
      </c>
      <c r="O793" t="str" cm="1">
        <f t="array" ref="O793">_xlfn.IFS(N793&gt;=54,"old",N793&gt;=31,"middle age",N793&gt;=18,"adolsent",N793&lt;18,"invalid")</f>
        <v>middle age</v>
      </c>
      <c r="P793" t="s">
        <v>18</v>
      </c>
    </row>
    <row r="794" spans="3:16" x14ac:dyDescent="0.3">
      <c r="C794">
        <v>25375</v>
      </c>
      <c r="D794" t="s">
        <v>36</v>
      </c>
      <c r="E794" t="s">
        <v>38</v>
      </c>
      <c r="F794" s="3">
        <v>50000</v>
      </c>
      <c r="G794">
        <v>1</v>
      </c>
      <c r="H794" t="s">
        <v>31</v>
      </c>
      <c r="I794" t="s">
        <v>14</v>
      </c>
      <c r="J794" t="s">
        <v>15</v>
      </c>
      <c r="K794">
        <v>0</v>
      </c>
      <c r="L794" t="s">
        <v>26</v>
      </c>
      <c r="M794" t="s">
        <v>32</v>
      </c>
      <c r="N794">
        <v>34</v>
      </c>
      <c r="O794" t="str" cm="1">
        <f t="array" ref="O794">_xlfn.IFS(N794&gt;=54,"old",N794&gt;=31,"middle age",N794&gt;=18,"adolsent",N794&lt;18,"invalid")</f>
        <v>middle age</v>
      </c>
      <c r="P794" t="s">
        <v>18</v>
      </c>
    </row>
    <row r="795" spans="3:16" x14ac:dyDescent="0.3">
      <c r="C795">
        <v>25394</v>
      </c>
      <c r="D795" t="s">
        <v>36</v>
      </c>
      <c r="E795" t="s">
        <v>38</v>
      </c>
      <c r="F795" s="3">
        <v>60000</v>
      </c>
      <c r="G795">
        <v>1</v>
      </c>
      <c r="H795" t="s">
        <v>31</v>
      </c>
      <c r="I795" t="s">
        <v>21</v>
      </c>
      <c r="J795" t="s">
        <v>15</v>
      </c>
      <c r="K795">
        <v>0</v>
      </c>
      <c r="L795" t="s">
        <v>22</v>
      </c>
      <c r="M795" t="s">
        <v>32</v>
      </c>
      <c r="N795">
        <v>34</v>
      </c>
      <c r="O795" t="str" cm="1">
        <f t="array" ref="O795">_xlfn.IFS(N795&gt;=54,"old",N795&gt;=31,"middle age",N795&gt;=18,"adolsent",N795&lt;18,"invalid")</f>
        <v>middle age</v>
      </c>
      <c r="P795" t="s">
        <v>15</v>
      </c>
    </row>
    <row r="796" spans="3:16" x14ac:dyDescent="0.3">
      <c r="C796">
        <v>25405</v>
      </c>
      <c r="D796" t="s">
        <v>36</v>
      </c>
      <c r="E796" t="s">
        <v>38</v>
      </c>
      <c r="F796" s="3">
        <v>70000</v>
      </c>
      <c r="G796">
        <v>2</v>
      </c>
      <c r="H796" t="s">
        <v>13</v>
      </c>
      <c r="I796" t="s">
        <v>14</v>
      </c>
      <c r="J796" t="s">
        <v>15</v>
      </c>
      <c r="K796">
        <v>1</v>
      </c>
      <c r="L796" t="s">
        <v>22</v>
      </c>
      <c r="M796" t="s">
        <v>32</v>
      </c>
      <c r="N796">
        <v>38</v>
      </c>
      <c r="O796" t="str" cm="1">
        <f t="array" ref="O796">_xlfn.IFS(N796&gt;=54,"old",N796&gt;=31,"middle age",N796&gt;=18,"adolsent",N796&lt;18,"invalid")</f>
        <v>middle age</v>
      </c>
      <c r="P796" t="s">
        <v>15</v>
      </c>
    </row>
    <row r="797" spans="3:16" x14ac:dyDescent="0.3">
      <c r="C797">
        <v>25419</v>
      </c>
      <c r="D797" t="s">
        <v>37</v>
      </c>
      <c r="E797" t="s">
        <v>38</v>
      </c>
      <c r="F797" s="3">
        <v>50000</v>
      </c>
      <c r="G797">
        <v>2</v>
      </c>
      <c r="H797" t="s">
        <v>13</v>
      </c>
      <c r="I797" t="s">
        <v>14</v>
      </c>
      <c r="J797" t="s">
        <v>18</v>
      </c>
      <c r="K797">
        <v>1</v>
      </c>
      <c r="L797" t="s">
        <v>16</v>
      </c>
      <c r="M797" t="s">
        <v>32</v>
      </c>
      <c r="N797">
        <v>38</v>
      </c>
      <c r="O797" t="str" cm="1">
        <f t="array" ref="O797">_xlfn.IFS(N797&gt;=54,"old",N797&gt;=31,"middle age",N797&gt;=18,"adolsent",N797&lt;18,"invalid")</f>
        <v>middle age</v>
      </c>
      <c r="P797" t="s">
        <v>15</v>
      </c>
    </row>
    <row r="798" spans="3:16" x14ac:dyDescent="0.3">
      <c r="C798">
        <v>25458</v>
      </c>
      <c r="D798" t="s">
        <v>36</v>
      </c>
      <c r="E798" t="s">
        <v>38</v>
      </c>
      <c r="F798" s="3">
        <v>20000</v>
      </c>
      <c r="G798">
        <v>1</v>
      </c>
      <c r="H798" t="s">
        <v>27</v>
      </c>
      <c r="I798" t="s">
        <v>25</v>
      </c>
      <c r="J798" t="s">
        <v>18</v>
      </c>
      <c r="K798">
        <v>1</v>
      </c>
      <c r="L798" t="s">
        <v>26</v>
      </c>
      <c r="M798" t="s">
        <v>17</v>
      </c>
      <c r="N798">
        <v>40</v>
      </c>
      <c r="O798" t="str" cm="1">
        <f t="array" ref="O798">_xlfn.IFS(N798&gt;=54,"old",N798&gt;=31,"middle age",N798&gt;=18,"adolsent",N798&lt;18,"invalid")</f>
        <v>middle age</v>
      </c>
      <c r="P798" t="s">
        <v>15</v>
      </c>
    </row>
    <row r="799" spans="3:16" x14ac:dyDescent="0.3">
      <c r="C799">
        <v>25460</v>
      </c>
      <c r="D799" t="s">
        <v>36</v>
      </c>
      <c r="E799" t="s">
        <v>39</v>
      </c>
      <c r="F799" s="3">
        <v>20000</v>
      </c>
      <c r="G799">
        <v>2</v>
      </c>
      <c r="H799" t="s">
        <v>27</v>
      </c>
      <c r="I799" t="s">
        <v>25</v>
      </c>
      <c r="J799" t="s">
        <v>15</v>
      </c>
      <c r="K799">
        <v>0</v>
      </c>
      <c r="L799" t="s">
        <v>16</v>
      </c>
      <c r="M799" t="s">
        <v>17</v>
      </c>
      <c r="N799">
        <v>40</v>
      </c>
      <c r="O799" t="str" cm="1">
        <f t="array" ref="O799">_xlfn.IFS(N799&gt;=54,"old",N799&gt;=31,"middle age",N799&gt;=18,"adolsent",N799&lt;18,"invalid")</f>
        <v>middle age</v>
      </c>
      <c r="P799" t="s">
        <v>15</v>
      </c>
    </row>
    <row r="800" spans="3:16" x14ac:dyDescent="0.3">
      <c r="C800">
        <v>25502</v>
      </c>
      <c r="D800" t="s">
        <v>36</v>
      </c>
      <c r="E800" t="s">
        <v>39</v>
      </c>
      <c r="F800" s="3">
        <v>40000</v>
      </c>
      <c r="G800">
        <v>1</v>
      </c>
      <c r="H800" t="s">
        <v>13</v>
      </c>
      <c r="I800" t="s">
        <v>14</v>
      </c>
      <c r="J800" t="s">
        <v>15</v>
      </c>
      <c r="K800">
        <v>0</v>
      </c>
      <c r="L800" t="s">
        <v>16</v>
      </c>
      <c r="M800" t="s">
        <v>17</v>
      </c>
      <c r="N800">
        <v>43</v>
      </c>
      <c r="O800" t="str" cm="1">
        <f t="array" ref="O800">_xlfn.IFS(N800&gt;=54,"old",N800&gt;=31,"middle age",N800&gt;=18,"adolsent",N800&lt;18,"invalid")</f>
        <v>middle age</v>
      </c>
      <c r="P800" t="s">
        <v>15</v>
      </c>
    </row>
    <row r="801" spans="3:16" x14ac:dyDescent="0.3">
      <c r="C801">
        <v>25512</v>
      </c>
      <c r="D801" t="s">
        <v>37</v>
      </c>
      <c r="E801" t="s">
        <v>38</v>
      </c>
      <c r="F801" s="3">
        <v>20000</v>
      </c>
      <c r="G801">
        <v>0</v>
      </c>
      <c r="H801" t="s">
        <v>27</v>
      </c>
      <c r="I801" t="s">
        <v>25</v>
      </c>
      <c r="J801" t="s">
        <v>18</v>
      </c>
      <c r="K801">
        <v>1</v>
      </c>
      <c r="L801" t="s">
        <v>22</v>
      </c>
      <c r="M801" t="s">
        <v>17</v>
      </c>
      <c r="N801">
        <v>30</v>
      </c>
      <c r="O801" t="str" cm="1">
        <f t="array" ref="O801">_xlfn.IFS(N801&gt;=54,"old",N801&gt;=31,"middle age",N801&gt;=18,"adolsent",N801&lt;18,"invalid")</f>
        <v>adolsent</v>
      </c>
      <c r="P801" t="s">
        <v>18</v>
      </c>
    </row>
    <row r="802" spans="3:16" x14ac:dyDescent="0.3">
      <c r="C802">
        <v>25529</v>
      </c>
      <c r="D802" t="s">
        <v>37</v>
      </c>
      <c r="E802" t="s">
        <v>38</v>
      </c>
      <c r="F802" s="3">
        <v>10000</v>
      </c>
      <c r="G802">
        <v>1</v>
      </c>
      <c r="H802" t="s">
        <v>31</v>
      </c>
      <c r="I802" t="s">
        <v>25</v>
      </c>
      <c r="J802" t="s">
        <v>15</v>
      </c>
      <c r="K802">
        <v>0</v>
      </c>
      <c r="L802" t="s">
        <v>16</v>
      </c>
      <c r="M802" t="s">
        <v>17</v>
      </c>
      <c r="N802">
        <v>44</v>
      </c>
      <c r="O802" t="str" cm="1">
        <f t="array" ref="O802">_xlfn.IFS(N802&gt;=54,"old",N802&gt;=31,"middle age",N802&gt;=18,"adolsent",N802&lt;18,"invalid")</f>
        <v>middle age</v>
      </c>
      <c r="P802" t="s">
        <v>18</v>
      </c>
    </row>
    <row r="803" spans="3:16" x14ac:dyDescent="0.3">
      <c r="C803">
        <v>25553</v>
      </c>
      <c r="D803" t="s">
        <v>36</v>
      </c>
      <c r="E803" t="s">
        <v>38</v>
      </c>
      <c r="F803" s="3">
        <v>30000</v>
      </c>
      <c r="G803">
        <v>1</v>
      </c>
      <c r="H803" t="s">
        <v>13</v>
      </c>
      <c r="I803" t="s">
        <v>20</v>
      </c>
      <c r="J803" t="s">
        <v>15</v>
      </c>
      <c r="K803">
        <v>0</v>
      </c>
      <c r="L803" t="s">
        <v>16</v>
      </c>
      <c r="M803" t="s">
        <v>17</v>
      </c>
      <c r="N803">
        <v>65</v>
      </c>
      <c r="O803" t="str" cm="1">
        <f t="array" ref="O803">_xlfn.IFS(N803&gt;=54,"old",N803&gt;=31,"middle age",N803&gt;=18,"adolsent",N803&lt;18,"invalid")</f>
        <v>old</v>
      </c>
      <c r="P803" t="s">
        <v>15</v>
      </c>
    </row>
    <row r="804" spans="3:16" x14ac:dyDescent="0.3">
      <c r="C804">
        <v>25555</v>
      </c>
      <c r="D804" t="s">
        <v>36</v>
      </c>
      <c r="E804" t="s">
        <v>39</v>
      </c>
      <c r="F804" s="3">
        <v>10000</v>
      </c>
      <c r="G804">
        <v>0</v>
      </c>
      <c r="H804" t="s">
        <v>19</v>
      </c>
      <c r="I804" t="s">
        <v>25</v>
      </c>
      <c r="J804" t="s">
        <v>18</v>
      </c>
      <c r="K804">
        <v>1</v>
      </c>
      <c r="L804" t="s">
        <v>16</v>
      </c>
      <c r="M804" t="s">
        <v>24</v>
      </c>
      <c r="N804">
        <v>26</v>
      </c>
      <c r="O804" t="str" cm="1">
        <f t="array" ref="O804">_xlfn.IFS(N804&gt;=54,"old",N804&gt;=31,"middle age",N804&gt;=18,"adolsent",N804&lt;18,"invalid")</f>
        <v>adolsent</v>
      </c>
      <c r="P804" t="s">
        <v>15</v>
      </c>
    </row>
    <row r="805" spans="3:16" x14ac:dyDescent="0.3">
      <c r="C805">
        <v>25559</v>
      </c>
      <c r="D805" t="s">
        <v>37</v>
      </c>
      <c r="E805" t="s">
        <v>38</v>
      </c>
      <c r="F805" s="3">
        <v>20000</v>
      </c>
      <c r="G805">
        <v>0</v>
      </c>
      <c r="H805" t="s">
        <v>13</v>
      </c>
      <c r="I805" t="s">
        <v>20</v>
      </c>
      <c r="J805" t="s">
        <v>15</v>
      </c>
      <c r="K805">
        <v>0</v>
      </c>
      <c r="L805" t="s">
        <v>16</v>
      </c>
      <c r="M805" t="s">
        <v>24</v>
      </c>
      <c r="N805">
        <v>25</v>
      </c>
      <c r="O805" t="str" cm="1">
        <f t="array" ref="O805">_xlfn.IFS(N805&gt;=54,"old",N805&gt;=31,"middle age",N805&gt;=18,"adolsent",N805&lt;18,"invalid")</f>
        <v>adolsent</v>
      </c>
      <c r="P805" t="s">
        <v>15</v>
      </c>
    </row>
    <row r="806" spans="3:16" x14ac:dyDescent="0.3">
      <c r="C806">
        <v>25597</v>
      </c>
      <c r="D806" t="s">
        <v>37</v>
      </c>
      <c r="E806" t="s">
        <v>38</v>
      </c>
      <c r="F806" s="3">
        <v>30000</v>
      </c>
      <c r="G806">
        <v>0</v>
      </c>
      <c r="H806" t="s">
        <v>13</v>
      </c>
      <c r="I806" t="s">
        <v>20</v>
      </c>
      <c r="J806" t="s">
        <v>18</v>
      </c>
      <c r="K806">
        <v>0</v>
      </c>
      <c r="L806" t="s">
        <v>16</v>
      </c>
      <c r="M806" t="s">
        <v>17</v>
      </c>
      <c r="N806">
        <v>36</v>
      </c>
      <c r="O806" t="str" cm="1">
        <f t="array" ref="O806">_xlfn.IFS(N806&gt;=54,"old",N806&gt;=31,"middle age",N806&gt;=18,"adolsent",N806&lt;18,"invalid")</f>
        <v>middle age</v>
      </c>
      <c r="P806" t="s">
        <v>15</v>
      </c>
    </row>
    <row r="807" spans="3:16" x14ac:dyDescent="0.3">
      <c r="C807">
        <v>25598</v>
      </c>
      <c r="D807" t="s">
        <v>36</v>
      </c>
      <c r="E807" t="s">
        <v>39</v>
      </c>
      <c r="F807" s="3">
        <v>40000</v>
      </c>
      <c r="G807">
        <v>0</v>
      </c>
      <c r="H807" t="s">
        <v>31</v>
      </c>
      <c r="I807" t="s">
        <v>20</v>
      </c>
      <c r="J807" t="s">
        <v>15</v>
      </c>
      <c r="K807">
        <v>0</v>
      </c>
      <c r="L807" t="s">
        <v>16</v>
      </c>
      <c r="M807" t="s">
        <v>17</v>
      </c>
      <c r="N807">
        <v>36</v>
      </c>
      <c r="O807" t="str" cm="1">
        <f t="array" ref="O807">_xlfn.IFS(N807&gt;=54,"old",N807&gt;=31,"middle age",N807&gt;=18,"adolsent",N807&lt;18,"invalid")</f>
        <v>middle age</v>
      </c>
      <c r="P807" t="s">
        <v>15</v>
      </c>
    </row>
    <row r="808" spans="3:16" x14ac:dyDescent="0.3">
      <c r="C808">
        <v>25605</v>
      </c>
      <c r="D808" t="s">
        <v>37</v>
      </c>
      <c r="E808" t="s">
        <v>39</v>
      </c>
      <c r="F808" s="3">
        <v>20000</v>
      </c>
      <c r="G808">
        <v>2</v>
      </c>
      <c r="H808" t="s">
        <v>19</v>
      </c>
      <c r="I808" t="s">
        <v>25</v>
      </c>
      <c r="J808" t="s">
        <v>18</v>
      </c>
      <c r="K808">
        <v>1</v>
      </c>
      <c r="L808" t="s">
        <v>16</v>
      </c>
      <c r="M808" t="s">
        <v>17</v>
      </c>
      <c r="N808">
        <v>54</v>
      </c>
      <c r="O808" t="str" cm="1">
        <f t="array" ref="O808">_xlfn.IFS(N808&gt;=54,"old",N808&gt;=31,"middle age",N808&gt;=18,"adolsent",N808&lt;18,"invalid")</f>
        <v>old</v>
      </c>
      <c r="P808" t="s">
        <v>15</v>
      </c>
    </row>
    <row r="809" spans="3:16" x14ac:dyDescent="0.3">
      <c r="C809">
        <v>25649</v>
      </c>
      <c r="D809" t="s">
        <v>37</v>
      </c>
      <c r="E809" t="s">
        <v>39</v>
      </c>
      <c r="F809" s="3">
        <v>30000</v>
      </c>
      <c r="G809">
        <v>3</v>
      </c>
      <c r="H809" t="s">
        <v>19</v>
      </c>
      <c r="I809" t="s">
        <v>20</v>
      </c>
      <c r="J809" t="s">
        <v>15</v>
      </c>
      <c r="K809">
        <v>0</v>
      </c>
      <c r="L809" t="s">
        <v>16</v>
      </c>
      <c r="M809" t="s">
        <v>17</v>
      </c>
      <c r="N809">
        <v>42</v>
      </c>
      <c r="O809" t="str" cm="1">
        <f t="array" ref="O809">_xlfn.IFS(N809&gt;=54,"old",N809&gt;=31,"middle age",N809&gt;=18,"adolsent",N809&lt;18,"invalid")</f>
        <v>middle age</v>
      </c>
      <c r="P809" t="s">
        <v>15</v>
      </c>
    </row>
    <row r="810" spans="3:16" x14ac:dyDescent="0.3">
      <c r="C810">
        <v>25651</v>
      </c>
      <c r="D810" t="s">
        <v>36</v>
      </c>
      <c r="E810" t="s">
        <v>38</v>
      </c>
      <c r="F810" s="3">
        <v>40000</v>
      </c>
      <c r="G810">
        <v>1</v>
      </c>
      <c r="H810" t="s">
        <v>13</v>
      </c>
      <c r="I810" t="s">
        <v>14</v>
      </c>
      <c r="J810" t="s">
        <v>18</v>
      </c>
      <c r="K810">
        <v>0</v>
      </c>
      <c r="L810" t="s">
        <v>16</v>
      </c>
      <c r="M810" t="s">
        <v>17</v>
      </c>
      <c r="N810">
        <v>43</v>
      </c>
      <c r="O810" t="str" cm="1">
        <f t="array" ref="O810">_xlfn.IFS(N810&gt;=54,"old",N810&gt;=31,"middle age",N810&gt;=18,"adolsent",N810&lt;18,"invalid")</f>
        <v>middle age</v>
      </c>
      <c r="P810" t="s">
        <v>15</v>
      </c>
    </row>
    <row r="811" spans="3:16" x14ac:dyDescent="0.3">
      <c r="C811">
        <v>25665</v>
      </c>
      <c r="D811" t="s">
        <v>37</v>
      </c>
      <c r="E811" t="s">
        <v>39</v>
      </c>
      <c r="F811" s="3">
        <v>20000</v>
      </c>
      <c r="G811">
        <v>0</v>
      </c>
      <c r="H811" t="s">
        <v>27</v>
      </c>
      <c r="I811" t="s">
        <v>25</v>
      </c>
      <c r="J811" t="s">
        <v>18</v>
      </c>
      <c r="K811">
        <v>1</v>
      </c>
      <c r="L811" t="s">
        <v>26</v>
      </c>
      <c r="M811" t="s">
        <v>17</v>
      </c>
      <c r="N811">
        <v>28</v>
      </c>
      <c r="O811" t="str" cm="1">
        <f t="array" ref="O811">_xlfn.IFS(N811&gt;=54,"old",N811&gt;=31,"middle age",N811&gt;=18,"adolsent",N811&lt;18,"invalid")</f>
        <v>adolsent</v>
      </c>
      <c r="P811" t="s">
        <v>18</v>
      </c>
    </row>
    <row r="812" spans="3:16" x14ac:dyDescent="0.3">
      <c r="C812">
        <v>25681</v>
      </c>
      <c r="D812" t="s">
        <v>37</v>
      </c>
      <c r="E812" t="s">
        <v>39</v>
      </c>
      <c r="F812" s="3">
        <v>30000</v>
      </c>
      <c r="G812">
        <v>0</v>
      </c>
      <c r="H812" t="s">
        <v>19</v>
      </c>
      <c r="I812" t="s">
        <v>20</v>
      </c>
      <c r="J812" t="s">
        <v>18</v>
      </c>
      <c r="K812">
        <v>1</v>
      </c>
      <c r="L812" t="s">
        <v>22</v>
      </c>
      <c r="M812" t="s">
        <v>17</v>
      </c>
      <c r="N812">
        <v>31</v>
      </c>
      <c r="O812" t="str" cm="1">
        <f t="array" ref="O812">_xlfn.IFS(N812&gt;=54,"old",N812&gt;=31,"middle age",N812&gt;=18,"adolsent",N812&lt;18,"invalid")</f>
        <v>middle age</v>
      </c>
      <c r="P812" t="s">
        <v>15</v>
      </c>
    </row>
    <row r="813" spans="3:16" x14ac:dyDescent="0.3">
      <c r="C813">
        <v>25693</v>
      </c>
      <c r="D813" t="s">
        <v>37</v>
      </c>
      <c r="E813" t="s">
        <v>39</v>
      </c>
      <c r="F813" s="3">
        <v>30000</v>
      </c>
      <c r="G813">
        <v>5</v>
      </c>
      <c r="H813" t="s">
        <v>31</v>
      </c>
      <c r="I813" t="s">
        <v>20</v>
      </c>
      <c r="J813" t="s">
        <v>15</v>
      </c>
      <c r="K813">
        <v>0</v>
      </c>
      <c r="L813" t="s">
        <v>16</v>
      </c>
      <c r="M813" t="s">
        <v>17</v>
      </c>
      <c r="N813">
        <v>44</v>
      </c>
      <c r="O813" t="str" cm="1">
        <f t="array" ref="O813">_xlfn.IFS(N813&gt;=54,"old",N813&gt;=31,"middle age",N813&gt;=18,"adolsent",N813&lt;18,"invalid")</f>
        <v>middle age</v>
      </c>
      <c r="P813" t="s">
        <v>15</v>
      </c>
    </row>
    <row r="814" spans="3:16" x14ac:dyDescent="0.3">
      <c r="C814">
        <v>25752</v>
      </c>
      <c r="D814" t="s">
        <v>37</v>
      </c>
      <c r="E814" t="s">
        <v>39</v>
      </c>
      <c r="F814" s="3">
        <v>20000</v>
      </c>
      <c r="G814">
        <v>2</v>
      </c>
      <c r="H814" t="s">
        <v>19</v>
      </c>
      <c r="I814" t="s">
        <v>25</v>
      </c>
      <c r="J814" t="s">
        <v>18</v>
      </c>
      <c r="K814">
        <v>1</v>
      </c>
      <c r="L814" t="s">
        <v>16</v>
      </c>
      <c r="M814" t="s">
        <v>17</v>
      </c>
      <c r="N814">
        <v>53</v>
      </c>
      <c r="O814" t="str" cm="1">
        <f t="array" ref="O814">_xlfn.IFS(N814&gt;=54,"old",N814&gt;=31,"middle age",N814&gt;=18,"adolsent",N814&lt;18,"invalid")</f>
        <v>middle age</v>
      </c>
      <c r="P814" t="s">
        <v>15</v>
      </c>
    </row>
    <row r="815" spans="3:16" x14ac:dyDescent="0.3">
      <c r="C815">
        <v>25792</v>
      </c>
      <c r="D815" t="s">
        <v>37</v>
      </c>
      <c r="E815" t="s">
        <v>39</v>
      </c>
      <c r="F815" s="3">
        <v>110000</v>
      </c>
      <c r="G815">
        <v>3</v>
      </c>
      <c r="H815" t="s">
        <v>13</v>
      </c>
      <c r="I815" t="s">
        <v>28</v>
      </c>
      <c r="J815" t="s">
        <v>15</v>
      </c>
      <c r="K815">
        <v>4</v>
      </c>
      <c r="L815" t="s">
        <v>30</v>
      </c>
      <c r="M815" t="s">
        <v>17</v>
      </c>
      <c r="N815">
        <v>53</v>
      </c>
      <c r="O815" t="str" cm="1">
        <f t="array" ref="O815">_xlfn.IFS(N815&gt;=54,"old",N815&gt;=31,"middle age",N815&gt;=18,"adolsent",N815&lt;18,"invalid")</f>
        <v>middle age</v>
      </c>
      <c r="P815" t="s">
        <v>18</v>
      </c>
    </row>
    <row r="816" spans="3:16" x14ac:dyDescent="0.3">
      <c r="C816">
        <v>25872</v>
      </c>
      <c r="D816" t="s">
        <v>37</v>
      </c>
      <c r="E816" t="s">
        <v>39</v>
      </c>
      <c r="F816" s="3">
        <v>70000</v>
      </c>
      <c r="G816">
        <v>2</v>
      </c>
      <c r="H816" t="s">
        <v>13</v>
      </c>
      <c r="I816" t="s">
        <v>28</v>
      </c>
      <c r="J816" t="s">
        <v>18</v>
      </c>
      <c r="K816">
        <v>1</v>
      </c>
      <c r="L816" t="s">
        <v>22</v>
      </c>
      <c r="M816" t="s">
        <v>32</v>
      </c>
      <c r="N816">
        <v>58</v>
      </c>
      <c r="O816" t="str" cm="1">
        <f t="array" ref="O816">_xlfn.IFS(N816&gt;=54,"old",N816&gt;=31,"middle age",N816&gt;=18,"adolsent",N816&lt;18,"invalid")</f>
        <v>old</v>
      </c>
      <c r="P816" t="s">
        <v>15</v>
      </c>
    </row>
    <row r="817" spans="3:16" x14ac:dyDescent="0.3">
      <c r="C817">
        <v>25886</v>
      </c>
      <c r="D817" t="s">
        <v>36</v>
      </c>
      <c r="E817" t="s">
        <v>39</v>
      </c>
      <c r="F817" s="3">
        <v>60000</v>
      </c>
      <c r="G817">
        <v>2</v>
      </c>
      <c r="H817" t="s">
        <v>19</v>
      </c>
      <c r="I817" t="s">
        <v>21</v>
      </c>
      <c r="J817" t="s">
        <v>15</v>
      </c>
      <c r="K817">
        <v>2</v>
      </c>
      <c r="L817" t="s">
        <v>22</v>
      </c>
      <c r="M817" t="s">
        <v>32</v>
      </c>
      <c r="N817">
        <v>56</v>
      </c>
      <c r="O817" t="str" cm="1">
        <f t="array" ref="O817">_xlfn.IFS(N817&gt;=54,"old",N817&gt;=31,"middle age",N817&gt;=18,"adolsent",N817&lt;18,"invalid")</f>
        <v>old</v>
      </c>
      <c r="P817" t="s">
        <v>15</v>
      </c>
    </row>
    <row r="818" spans="3:16" x14ac:dyDescent="0.3">
      <c r="C818">
        <v>25898</v>
      </c>
      <c r="D818" t="s">
        <v>36</v>
      </c>
      <c r="E818" t="s">
        <v>39</v>
      </c>
      <c r="F818" s="3">
        <v>70000</v>
      </c>
      <c r="G818">
        <v>2</v>
      </c>
      <c r="H818" t="s">
        <v>27</v>
      </c>
      <c r="I818" t="s">
        <v>21</v>
      </c>
      <c r="J818" t="s">
        <v>15</v>
      </c>
      <c r="K818">
        <v>2</v>
      </c>
      <c r="L818" t="s">
        <v>22</v>
      </c>
      <c r="M818" t="s">
        <v>32</v>
      </c>
      <c r="N818">
        <v>53</v>
      </c>
      <c r="O818" t="str" cm="1">
        <f t="array" ref="O818">_xlfn.IFS(N818&gt;=54,"old",N818&gt;=31,"middle age",N818&gt;=18,"adolsent",N818&lt;18,"invalid")</f>
        <v>middle age</v>
      </c>
      <c r="P818" t="s">
        <v>18</v>
      </c>
    </row>
    <row r="819" spans="3:16" x14ac:dyDescent="0.3">
      <c r="C819">
        <v>25899</v>
      </c>
      <c r="D819" t="s">
        <v>36</v>
      </c>
      <c r="E819" t="s">
        <v>39</v>
      </c>
      <c r="F819" s="3">
        <v>70000</v>
      </c>
      <c r="G819">
        <v>2</v>
      </c>
      <c r="H819" t="s">
        <v>27</v>
      </c>
      <c r="I819" t="s">
        <v>21</v>
      </c>
      <c r="J819" t="s">
        <v>15</v>
      </c>
      <c r="K819">
        <v>2</v>
      </c>
      <c r="L819" t="s">
        <v>30</v>
      </c>
      <c r="M819" t="s">
        <v>32</v>
      </c>
      <c r="N819">
        <v>53</v>
      </c>
      <c r="O819" t="str" cm="1">
        <f t="array" ref="O819">_xlfn.IFS(N819&gt;=54,"old",N819&gt;=31,"middle age",N819&gt;=18,"adolsent",N819&lt;18,"invalid")</f>
        <v>middle age</v>
      </c>
      <c r="P819" t="s">
        <v>18</v>
      </c>
    </row>
    <row r="820" spans="3:16" x14ac:dyDescent="0.3">
      <c r="C820">
        <v>25906</v>
      </c>
      <c r="D820" t="s">
        <v>37</v>
      </c>
      <c r="E820" t="s">
        <v>39</v>
      </c>
      <c r="F820" s="3">
        <v>10000</v>
      </c>
      <c r="G820">
        <v>5</v>
      </c>
      <c r="H820" t="s">
        <v>27</v>
      </c>
      <c r="I820" t="s">
        <v>14</v>
      </c>
      <c r="J820" t="s">
        <v>18</v>
      </c>
      <c r="K820">
        <v>2</v>
      </c>
      <c r="L820" t="s">
        <v>26</v>
      </c>
      <c r="M820" t="s">
        <v>24</v>
      </c>
      <c r="N820">
        <v>62</v>
      </c>
      <c r="O820" t="str" cm="1">
        <f t="array" ref="O820">_xlfn.IFS(N820&gt;=54,"old",N820&gt;=31,"middle age",N820&gt;=18,"adolsent",N820&lt;18,"invalid")</f>
        <v>old</v>
      </c>
      <c r="P820" t="s">
        <v>18</v>
      </c>
    </row>
    <row r="821" spans="3:16" x14ac:dyDescent="0.3">
      <c r="C821">
        <v>25908</v>
      </c>
      <c r="D821" t="s">
        <v>36</v>
      </c>
      <c r="E821" t="s">
        <v>39</v>
      </c>
      <c r="F821" s="3">
        <v>60000</v>
      </c>
      <c r="G821">
        <v>0</v>
      </c>
      <c r="H821" t="s">
        <v>19</v>
      </c>
      <c r="I821" t="s">
        <v>14</v>
      </c>
      <c r="J821" t="s">
        <v>18</v>
      </c>
      <c r="K821">
        <v>1</v>
      </c>
      <c r="L821" t="s">
        <v>26</v>
      </c>
      <c r="M821" t="s">
        <v>32</v>
      </c>
      <c r="N821">
        <v>27</v>
      </c>
      <c r="O821" t="str" cm="1">
        <f t="array" ref="O821">_xlfn.IFS(N821&gt;=54,"old",N821&gt;=31,"middle age",N821&gt;=18,"adolsent",N821&lt;18,"invalid")</f>
        <v>adolsent</v>
      </c>
      <c r="P821" t="s">
        <v>18</v>
      </c>
    </row>
    <row r="822" spans="3:16" x14ac:dyDescent="0.3">
      <c r="C822">
        <v>25909</v>
      </c>
      <c r="D822" t="s">
        <v>36</v>
      </c>
      <c r="E822" t="s">
        <v>38</v>
      </c>
      <c r="F822" s="3">
        <v>60000</v>
      </c>
      <c r="G822">
        <v>0</v>
      </c>
      <c r="H822" t="s">
        <v>19</v>
      </c>
      <c r="I822" t="s">
        <v>14</v>
      </c>
      <c r="J822" t="s">
        <v>15</v>
      </c>
      <c r="K822">
        <v>1</v>
      </c>
      <c r="L822" t="s">
        <v>23</v>
      </c>
      <c r="M822" t="s">
        <v>32</v>
      </c>
      <c r="N822">
        <v>27</v>
      </c>
      <c r="O822" t="str" cm="1">
        <f t="array" ref="O822">_xlfn.IFS(N822&gt;=54,"old",N822&gt;=31,"middle age",N822&gt;=18,"adolsent",N822&lt;18,"invalid")</f>
        <v>adolsent</v>
      </c>
      <c r="P822" t="s">
        <v>15</v>
      </c>
    </row>
    <row r="823" spans="3:16" x14ac:dyDescent="0.3">
      <c r="C823">
        <v>25918</v>
      </c>
      <c r="D823" t="s">
        <v>37</v>
      </c>
      <c r="E823" t="s">
        <v>39</v>
      </c>
      <c r="F823" s="3">
        <v>30000</v>
      </c>
      <c r="G823">
        <v>2</v>
      </c>
      <c r="H823" t="s">
        <v>19</v>
      </c>
      <c r="I823" t="s">
        <v>20</v>
      </c>
      <c r="J823" t="s">
        <v>18</v>
      </c>
      <c r="K823">
        <v>2</v>
      </c>
      <c r="L823" t="s">
        <v>23</v>
      </c>
      <c r="M823" t="s">
        <v>24</v>
      </c>
      <c r="N823">
        <v>60</v>
      </c>
      <c r="O823" t="str" cm="1">
        <f t="array" ref="O823">_xlfn.IFS(N823&gt;=54,"old",N823&gt;=31,"middle age",N823&gt;=18,"adolsent",N823&lt;18,"invalid")</f>
        <v>old</v>
      </c>
      <c r="P823" t="s">
        <v>15</v>
      </c>
    </row>
    <row r="824" spans="3:16" x14ac:dyDescent="0.3">
      <c r="C824">
        <v>25923</v>
      </c>
      <c r="D824" t="s">
        <v>37</v>
      </c>
      <c r="E824" t="s">
        <v>38</v>
      </c>
      <c r="F824" s="3">
        <v>10000</v>
      </c>
      <c r="G824">
        <v>2</v>
      </c>
      <c r="H824" t="s">
        <v>29</v>
      </c>
      <c r="I824" t="s">
        <v>20</v>
      </c>
      <c r="J824" t="s">
        <v>15</v>
      </c>
      <c r="K824">
        <v>2</v>
      </c>
      <c r="L824" t="s">
        <v>23</v>
      </c>
      <c r="M824" t="s">
        <v>24</v>
      </c>
      <c r="N824">
        <v>58</v>
      </c>
      <c r="O824" t="str" cm="1">
        <f t="array" ref="O824">_xlfn.IFS(N824&gt;=54,"old",N824&gt;=31,"middle age",N824&gt;=18,"adolsent",N824&lt;18,"invalid")</f>
        <v>old</v>
      </c>
      <c r="P824" t="s">
        <v>18</v>
      </c>
    </row>
    <row r="825" spans="3:16" x14ac:dyDescent="0.3">
      <c r="C825">
        <v>25940</v>
      </c>
      <c r="D825" t="s">
        <v>37</v>
      </c>
      <c r="E825" t="s">
        <v>38</v>
      </c>
      <c r="F825" s="3">
        <v>20000</v>
      </c>
      <c r="G825">
        <v>2</v>
      </c>
      <c r="H825" t="s">
        <v>29</v>
      </c>
      <c r="I825" t="s">
        <v>20</v>
      </c>
      <c r="J825" t="s">
        <v>15</v>
      </c>
      <c r="K825">
        <v>2</v>
      </c>
      <c r="L825" t="s">
        <v>23</v>
      </c>
      <c r="M825" t="s">
        <v>24</v>
      </c>
      <c r="N825">
        <v>55</v>
      </c>
      <c r="O825" t="str" cm="1">
        <f t="array" ref="O825">_xlfn.IFS(N825&gt;=54,"old",N825&gt;=31,"middle age",N825&gt;=18,"adolsent",N825&lt;18,"invalid")</f>
        <v>old</v>
      </c>
      <c r="P825" t="s">
        <v>15</v>
      </c>
    </row>
    <row r="826" spans="3:16" x14ac:dyDescent="0.3">
      <c r="C826">
        <v>25943</v>
      </c>
      <c r="D826" t="s">
        <v>37</v>
      </c>
      <c r="E826" t="s">
        <v>39</v>
      </c>
      <c r="F826" s="3">
        <v>70000</v>
      </c>
      <c r="G826">
        <v>0</v>
      </c>
      <c r="H826" t="s">
        <v>19</v>
      </c>
      <c r="I826" t="s">
        <v>14</v>
      </c>
      <c r="J826" t="s">
        <v>18</v>
      </c>
      <c r="K826">
        <v>2</v>
      </c>
      <c r="L826" t="s">
        <v>16</v>
      </c>
      <c r="M826" t="s">
        <v>32</v>
      </c>
      <c r="N826">
        <v>27</v>
      </c>
      <c r="O826" t="str" cm="1">
        <f t="array" ref="O826">_xlfn.IFS(N826&gt;=54,"old",N826&gt;=31,"middle age",N826&gt;=18,"adolsent",N826&lt;18,"invalid")</f>
        <v>adolsent</v>
      </c>
      <c r="P826" t="s">
        <v>15</v>
      </c>
    </row>
    <row r="827" spans="3:16" x14ac:dyDescent="0.3">
      <c r="C827">
        <v>25954</v>
      </c>
      <c r="D827" t="s">
        <v>36</v>
      </c>
      <c r="E827" t="s">
        <v>38</v>
      </c>
      <c r="F827" s="3">
        <v>60000</v>
      </c>
      <c r="G827">
        <v>0</v>
      </c>
      <c r="H827" t="s">
        <v>19</v>
      </c>
      <c r="I827" t="s">
        <v>14</v>
      </c>
      <c r="J827" t="s">
        <v>18</v>
      </c>
      <c r="K827">
        <v>2</v>
      </c>
      <c r="L827" t="s">
        <v>26</v>
      </c>
      <c r="M827" t="s">
        <v>32</v>
      </c>
      <c r="N827">
        <v>31</v>
      </c>
      <c r="O827" t="str" cm="1">
        <f t="array" ref="O827">_xlfn.IFS(N827&gt;=54,"old",N827&gt;=31,"middle age",N827&gt;=18,"adolsent",N827&lt;18,"invalid")</f>
        <v>middle age</v>
      </c>
      <c r="P827" t="s">
        <v>18</v>
      </c>
    </row>
    <row r="828" spans="3:16" x14ac:dyDescent="0.3">
      <c r="C828">
        <v>25970</v>
      </c>
      <c r="D828" t="s">
        <v>37</v>
      </c>
      <c r="E828" t="s">
        <v>39</v>
      </c>
      <c r="F828" s="3">
        <v>60000</v>
      </c>
      <c r="G828">
        <v>4</v>
      </c>
      <c r="H828" t="s">
        <v>13</v>
      </c>
      <c r="I828" t="s">
        <v>14</v>
      </c>
      <c r="J828" t="s">
        <v>18</v>
      </c>
      <c r="K828">
        <v>2</v>
      </c>
      <c r="L828" t="s">
        <v>16</v>
      </c>
      <c r="M828" t="s">
        <v>32</v>
      </c>
      <c r="N828">
        <v>41</v>
      </c>
      <c r="O828" t="str" cm="1">
        <f t="array" ref="O828">_xlfn.IFS(N828&gt;=54,"old",N828&gt;=31,"middle age",N828&gt;=18,"adolsent",N828&lt;18,"invalid")</f>
        <v>middle age</v>
      </c>
      <c r="P828" t="s">
        <v>15</v>
      </c>
    </row>
    <row r="829" spans="3:16" x14ac:dyDescent="0.3">
      <c r="C829">
        <v>25983</v>
      </c>
      <c r="D829" t="s">
        <v>36</v>
      </c>
      <c r="E829" t="s">
        <v>38</v>
      </c>
      <c r="F829" s="3">
        <v>70000</v>
      </c>
      <c r="G829">
        <v>0</v>
      </c>
      <c r="H829" t="s">
        <v>13</v>
      </c>
      <c r="I829" t="s">
        <v>21</v>
      </c>
      <c r="J829" t="s">
        <v>18</v>
      </c>
      <c r="K829">
        <v>1</v>
      </c>
      <c r="L829" t="s">
        <v>16</v>
      </c>
      <c r="M829" t="s">
        <v>32</v>
      </c>
      <c r="N829">
        <v>43</v>
      </c>
      <c r="O829" t="str" cm="1">
        <f t="array" ref="O829">_xlfn.IFS(N829&gt;=54,"old",N829&gt;=31,"middle age",N829&gt;=18,"adolsent",N829&lt;18,"invalid")</f>
        <v>middle age</v>
      </c>
      <c r="P829" t="s">
        <v>18</v>
      </c>
    </row>
    <row r="830" spans="3:16" x14ac:dyDescent="0.3">
      <c r="C830">
        <v>26012</v>
      </c>
      <c r="D830" t="s">
        <v>36</v>
      </c>
      <c r="E830" t="s">
        <v>38</v>
      </c>
      <c r="F830" s="3">
        <v>80000</v>
      </c>
      <c r="G830">
        <v>1</v>
      </c>
      <c r="H830" t="s">
        <v>19</v>
      </c>
      <c r="I830" t="s">
        <v>14</v>
      </c>
      <c r="J830" t="s">
        <v>15</v>
      </c>
      <c r="K830">
        <v>1</v>
      </c>
      <c r="L830" t="s">
        <v>22</v>
      </c>
      <c r="M830" t="s">
        <v>32</v>
      </c>
      <c r="N830">
        <v>48</v>
      </c>
      <c r="O830" t="str" cm="1">
        <f t="array" ref="O830">_xlfn.IFS(N830&gt;=54,"old",N830&gt;=31,"middle age",N830&gt;=18,"adolsent",N830&lt;18,"invalid")</f>
        <v>middle age</v>
      </c>
      <c r="P830" t="s">
        <v>15</v>
      </c>
    </row>
    <row r="831" spans="3:16" x14ac:dyDescent="0.3">
      <c r="C831">
        <v>26032</v>
      </c>
      <c r="D831" t="s">
        <v>36</v>
      </c>
      <c r="E831" t="s">
        <v>39</v>
      </c>
      <c r="F831" s="3">
        <v>70000</v>
      </c>
      <c r="G831">
        <v>5</v>
      </c>
      <c r="H831" t="s">
        <v>13</v>
      </c>
      <c r="I831" t="s">
        <v>21</v>
      </c>
      <c r="J831" t="s">
        <v>15</v>
      </c>
      <c r="K831">
        <v>4</v>
      </c>
      <c r="L831" t="s">
        <v>30</v>
      </c>
      <c r="M831" t="s">
        <v>24</v>
      </c>
      <c r="N831">
        <v>41</v>
      </c>
      <c r="O831" t="str" cm="1">
        <f t="array" ref="O831">_xlfn.IFS(N831&gt;=54,"old",N831&gt;=31,"middle age",N831&gt;=18,"adolsent",N831&lt;18,"invalid")</f>
        <v>middle age</v>
      </c>
      <c r="P831" t="s">
        <v>18</v>
      </c>
    </row>
    <row r="832" spans="3:16" x14ac:dyDescent="0.3">
      <c r="C832">
        <v>26065</v>
      </c>
      <c r="D832" t="s">
        <v>37</v>
      </c>
      <c r="E832" t="s">
        <v>39</v>
      </c>
      <c r="F832" s="3">
        <v>110000</v>
      </c>
      <c r="G832">
        <v>3</v>
      </c>
      <c r="H832" t="s">
        <v>13</v>
      </c>
      <c r="I832" t="s">
        <v>28</v>
      </c>
      <c r="J832" t="s">
        <v>18</v>
      </c>
      <c r="K832">
        <v>4</v>
      </c>
      <c r="L832" t="s">
        <v>26</v>
      </c>
      <c r="M832" t="s">
        <v>32</v>
      </c>
      <c r="N832">
        <v>42</v>
      </c>
      <c r="O832" t="str" cm="1">
        <f t="array" ref="O832">_xlfn.IFS(N832&gt;=54,"old",N832&gt;=31,"middle age",N832&gt;=18,"adolsent",N832&lt;18,"invalid")</f>
        <v>middle age</v>
      </c>
      <c r="P832" t="s">
        <v>18</v>
      </c>
    </row>
    <row r="833" spans="3:16" x14ac:dyDescent="0.3">
      <c r="C833">
        <v>26139</v>
      </c>
      <c r="D833" t="s">
        <v>37</v>
      </c>
      <c r="E833" t="s">
        <v>38</v>
      </c>
      <c r="F833" s="3">
        <v>60000</v>
      </c>
      <c r="G833">
        <v>1</v>
      </c>
      <c r="H833" t="s">
        <v>19</v>
      </c>
      <c r="I833" t="s">
        <v>14</v>
      </c>
      <c r="J833" t="s">
        <v>15</v>
      </c>
      <c r="K833">
        <v>1</v>
      </c>
      <c r="L833" t="s">
        <v>23</v>
      </c>
      <c r="M833" t="s">
        <v>24</v>
      </c>
      <c r="N833">
        <v>45</v>
      </c>
      <c r="O833" t="str" cm="1">
        <f t="array" ref="O833">_xlfn.IFS(N833&gt;=54,"old",N833&gt;=31,"middle age",N833&gt;=18,"adolsent",N833&lt;18,"invalid")</f>
        <v>middle age</v>
      </c>
      <c r="P833" t="s">
        <v>18</v>
      </c>
    </row>
    <row r="834" spans="3:16" x14ac:dyDescent="0.3">
      <c r="C834">
        <v>26150</v>
      </c>
      <c r="D834" t="s">
        <v>37</v>
      </c>
      <c r="E834" t="s">
        <v>39</v>
      </c>
      <c r="F834" s="3">
        <v>70000</v>
      </c>
      <c r="G834">
        <v>0</v>
      </c>
      <c r="H834" t="s">
        <v>13</v>
      </c>
      <c r="I834" t="s">
        <v>21</v>
      </c>
      <c r="J834" t="s">
        <v>18</v>
      </c>
      <c r="K834">
        <v>1</v>
      </c>
      <c r="L834" t="s">
        <v>16</v>
      </c>
      <c r="M834" t="s">
        <v>24</v>
      </c>
      <c r="N834">
        <v>41</v>
      </c>
      <c r="O834" t="str" cm="1">
        <f t="array" ref="O834">_xlfn.IFS(N834&gt;=54,"old",N834&gt;=31,"middle age",N834&gt;=18,"adolsent",N834&lt;18,"invalid")</f>
        <v>middle age</v>
      </c>
      <c r="P834" t="s">
        <v>15</v>
      </c>
    </row>
    <row r="835" spans="3:16" x14ac:dyDescent="0.3">
      <c r="C835">
        <v>26154</v>
      </c>
      <c r="D835" t="s">
        <v>36</v>
      </c>
      <c r="E835" t="s">
        <v>38</v>
      </c>
      <c r="F835" s="3">
        <v>60000</v>
      </c>
      <c r="G835">
        <v>1</v>
      </c>
      <c r="H835" t="s">
        <v>19</v>
      </c>
      <c r="I835" t="s">
        <v>14</v>
      </c>
      <c r="J835" t="s">
        <v>15</v>
      </c>
      <c r="K835">
        <v>1</v>
      </c>
      <c r="L835" t="s">
        <v>23</v>
      </c>
      <c r="M835" t="s">
        <v>24</v>
      </c>
      <c r="N835">
        <v>43</v>
      </c>
      <c r="O835" t="str" cm="1">
        <f t="array" ref="O835">_xlfn.IFS(N835&gt;=54,"old",N835&gt;=31,"middle age",N835&gt;=18,"adolsent",N835&lt;18,"invalid")</f>
        <v>middle age</v>
      </c>
      <c r="P835" t="s">
        <v>15</v>
      </c>
    </row>
    <row r="836" spans="3:16" x14ac:dyDescent="0.3">
      <c r="C836">
        <v>26167</v>
      </c>
      <c r="D836" t="s">
        <v>37</v>
      </c>
      <c r="E836" t="s">
        <v>39</v>
      </c>
      <c r="F836" s="3">
        <v>40000</v>
      </c>
      <c r="G836">
        <v>2</v>
      </c>
      <c r="H836" t="s">
        <v>13</v>
      </c>
      <c r="I836" t="s">
        <v>28</v>
      </c>
      <c r="J836" t="s">
        <v>18</v>
      </c>
      <c r="K836">
        <v>1</v>
      </c>
      <c r="L836" t="s">
        <v>23</v>
      </c>
      <c r="M836" t="s">
        <v>24</v>
      </c>
      <c r="N836">
        <v>53</v>
      </c>
      <c r="O836" t="str" cm="1">
        <f t="array" ref="O836">_xlfn.IFS(N836&gt;=54,"old",N836&gt;=31,"middle age",N836&gt;=18,"adolsent",N836&lt;18,"invalid")</f>
        <v>middle age</v>
      </c>
      <c r="P836" t="s">
        <v>15</v>
      </c>
    </row>
    <row r="837" spans="3:16" x14ac:dyDescent="0.3">
      <c r="C837">
        <v>26219</v>
      </c>
      <c r="D837" t="s">
        <v>36</v>
      </c>
      <c r="E837" t="s">
        <v>39</v>
      </c>
      <c r="F837" s="3">
        <v>40000</v>
      </c>
      <c r="G837">
        <v>1</v>
      </c>
      <c r="H837" t="s">
        <v>13</v>
      </c>
      <c r="I837" t="s">
        <v>14</v>
      </c>
      <c r="J837" t="s">
        <v>15</v>
      </c>
      <c r="K837">
        <v>1</v>
      </c>
      <c r="L837" t="s">
        <v>26</v>
      </c>
      <c r="M837" t="s">
        <v>17</v>
      </c>
      <c r="N837">
        <v>33</v>
      </c>
      <c r="O837" t="str" cm="1">
        <f t="array" ref="O837">_xlfn.IFS(N837&gt;=54,"old",N837&gt;=31,"middle age",N837&gt;=18,"adolsent",N837&lt;18,"invalid")</f>
        <v>middle age</v>
      </c>
      <c r="P837" t="s">
        <v>15</v>
      </c>
    </row>
    <row r="838" spans="3:16" x14ac:dyDescent="0.3">
      <c r="C838">
        <v>26236</v>
      </c>
      <c r="D838" t="s">
        <v>36</v>
      </c>
      <c r="E838" t="s">
        <v>39</v>
      </c>
      <c r="F838" s="3">
        <v>40000</v>
      </c>
      <c r="G838">
        <v>3</v>
      </c>
      <c r="H838" t="s">
        <v>19</v>
      </c>
      <c r="I838" t="s">
        <v>20</v>
      </c>
      <c r="J838" t="s">
        <v>15</v>
      </c>
      <c r="K838">
        <v>1</v>
      </c>
      <c r="L838" t="s">
        <v>16</v>
      </c>
      <c r="M838" t="s">
        <v>32</v>
      </c>
      <c r="N838">
        <v>31</v>
      </c>
      <c r="O838" t="str" cm="1">
        <f t="array" ref="O838">_xlfn.IFS(N838&gt;=54,"old",N838&gt;=31,"middle age",N838&gt;=18,"adolsent",N838&lt;18,"invalid")</f>
        <v>middle age</v>
      </c>
      <c r="P838" t="s">
        <v>18</v>
      </c>
    </row>
    <row r="839" spans="3:16" x14ac:dyDescent="0.3">
      <c r="C839">
        <v>26238</v>
      </c>
      <c r="D839" t="s">
        <v>37</v>
      </c>
      <c r="E839" t="s">
        <v>39</v>
      </c>
      <c r="F839" s="3">
        <v>40000</v>
      </c>
      <c r="G839">
        <v>3</v>
      </c>
      <c r="H839" t="s">
        <v>19</v>
      </c>
      <c r="I839" t="s">
        <v>20</v>
      </c>
      <c r="J839" t="s">
        <v>15</v>
      </c>
      <c r="K839">
        <v>1</v>
      </c>
      <c r="L839" t="s">
        <v>26</v>
      </c>
      <c r="M839" t="s">
        <v>32</v>
      </c>
      <c r="N839">
        <v>31</v>
      </c>
      <c r="O839" t="str" cm="1">
        <f t="array" ref="O839">_xlfn.IFS(N839&gt;=54,"old",N839&gt;=31,"middle age",N839&gt;=18,"adolsent",N839&lt;18,"invalid")</f>
        <v>middle age</v>
      </c>
      <c r="P839" t="s">
        <v>15</v>
      </c>
    </row>
    <row r="840" spans="3:16" x14ac:dyDescent="0.3">
      <c r="C840">
        <v>26248</v>
      </c>
      <c r="D840" t="s">
        <v>36</v>
      </c>
      <c r="E840" t="s">
        <v>38</v>
      </c>
      <c r="F840" s="3">
        <v>20000</v>
      </c>
      <c r="G840">
        <v>3</v>
      </c>
      <c r="H840" t="s">
        <v>29</v>
      </c>
      <c r="I840" t="s">
        <v>20</v>
      </c>
      <c r="J840" t="s">
        <v>18</v>
      </c>
      <c r="K840">
        <v>2</v>
      </c>
      <c r="L840" t="s">
        <v>16</v>
      </c>
      <c r="M840" t="s">
        <v>32</v>
      </c>
      <c r="N840">
        <v>52</v>
      </c>
      <c r="O840" t="str" cm="1">
        <f t="array" ref="O840">_xlfn.IFS(N840&gt;=54,"old",N840&gt;=31,"middle age",N840&gt;=18,"adolsent",N840&lt;18,"invalid")</f>
        <v>middle age</v>
      </c>
      <c r="P840" t="s">
        <v>18</v>
      </c>
    </row>
    <row r="841" spans="3:16" x14ac:dyDescent="0.3">
      <c r="C841">
        <v>26270</v>
      </c>
      <c r="D841" t="s">
        <v>37</v>
      </c>
      <c r="E841" t="s">
        <v>39</v>
      </c>
      <c r="F841" s="3">
        <v>20000</v>
      </c>
      <c r="G841">
        <v>2</v>
      </c>
      <c r="H841" t="s">
        <v>29</v>
      </c>
      <c r="I841" t="s">
        <v>20</v>
      </c>
      <c r="J841" t="s">
        <v>15</v>
      </c>
      <c r="K841">
        <v>2</v>
      </c>
      <c r="L841" t="s">
        <v>26</v>
      </c>
      <c r="M841" t="s">
        <v>32</v>
      </c>
      <c r="N841">
        <v>49</v>
      </c>
      <c r="O841" t="str" cm="1">
        <f t="array" ref="O841">_xlfn.IFS(N841&gt;=54,"old",N841&gt;=31,"middle age",N841&gt;=18,"adolsent",N841&lt;18,"invalid")</f>
        <v>middle age</v>
      </c>
      <c r="P841" t="s">
        <v>18</v>
      </c>
    </row>
    <row r="842" spans="3:16" x14ac:dyDescent="0.3">
      <c r="C842">
        <v>26298</v>
      </c>
      <c r="D842" t="s">
        <v>36</v>
      </c>
      <c r="E842" t="s">
        <v>39</v>
      </c>
      <c r="F842" s="3">
        <v>50000</v>
      </c>
      <c r="G842">
        <v>1</v>
      </c>
      <c r="H842" t="s">
        <v>13</v>
      </c>
      <c r="I842" t="s">
        <v>14</v>
      </c>
      <c r="J842" t="s">
        <v>15</v>
      </c>
      <c r="K842">
        <v>0</v>
      </c>
      <c r="L842" t="s">
        <v>22</v>
      </c>
      <c r="M842" t="s">
        <v>32</v>
      </c>
      <c r="N842">
        <v>34</v>
      </c>
      <c r="O842" t="str" cm="1">
        <f t="array" ref="O842">_xlfn.IFS(N842&gt;=54,"old",N842&gt;=31,"middle age",N842&gt;=18,"adolsent",N842&lt;18,"invalid")</f>
        <v>middle age</v>
      </c>
      <c r="P842" t="s">
        <v>15</v>
      </c>
    </row>
    <row r="843" spans="3:16" x14ac:dyDescent="0.3">
      <c r="C843">
        <v>26305</v>
      </c>
      <c r="D843" t="s">
        <v>37</v>
      </c>
      <c r="E843" t="s">
        <v>39</v>
      </c>
      <c r="F843" s="3">
        <v>60000</v>
      </c>
      <c r="G843">
        <v>2</v>
      </c>
      <c r="H843" t="s">
        <v>13</v>
      </c>
      <c r="I843" t="s">
        <v>14</v>
      </c>
      <c r="J843" t="s">
        <v>18</v>
      </c>
      <c r="K843">
        <v>0</v>
      </c>
      <c r="L843" t="s">
        <v>16</v>
      </c>
      <c r="M843" t="s">
        <v>32</v>
      </c>
      <c r="N843">
        <v>36</v>
      </c>
      <c r="O843" t="str" cm="1">
        <f t="array" ref="O843">_xlfn.IFS(N843&gt;=54,"old",N843&gt;=31,"middle age",N843&gt;=18,"adolsent",N843&lt;18,"invalid")</f>
        <v>middle age</v>
      </c>
      <c r="P843" t="s">
        <v>15</v>
      </c>
    </row>
    <row r="844" spans="3:16" x14ac:dyDescent="0.3">
      <c r="C844">
        <v>26327</v>
      </c>
      <c r="D844" t="s">
        <v>36</v>
      </c>
      <c r="E844" t="s">
        <v>38</v>
      </c>
      <c r="F844" s="3">
        <v>70000</v>
      </c>
      <c r="G844">
        <v>4</v>
      </c>
      <c r="H844" t="s">
        <v>31</v>
      </c>
      <c r="I844" t="s">
        <v>21</v>
      </c>
      <c r="J844" t="s">
        <v>15</v>
      </c>
      <c r="K844">
        <v>0</v>
      </c>
      <c r="L844" t="s">
        <v>22</v>
      </c>
      <c r="M844" t="s">
        <v>32</v>
      </c>
      <c r="N844">
        <v>36</v>
      </c>
      <c r="O844" t="str" cm="1">
        <f t="array" ref="O844">_xlfn.IFS(N844&gt;=54,"old",N844&gt;=31,"middle age",N844&gt;=18,"adolsent",N844&lt;18,"invalid")</f>
        <v>middle age</v>
      </c>
      <c r="P844" t="s">
        <v>15</v>
      </c>
    </row>
    <row r="845" spans="3:16" x14ac:dyDescent="0.3">
      <c r="C845">
        <v>26341</v>
      </c>
      <c r="D845" t="s">
        <v>36</v>
      </c>
      <c r="E845" t="s">
        <v>39</v>
      </c>
      <c r="F845" s="3">
        <v>70000</v>
      </c>
      <c r="G845">
        <v>5</v>
      </c>
      <c r="H845" t="s">
        <v>31</v>
      </c>
      <c r="I845" t="s">
        <v>21</v>
      </c>
      <c r="J845" t="s">
        <v>15</v>
      </c>
      <c r="K845">
        <v>2</v>
      </c>
      <c r="L845" t="s">
        <v>16</v>
      </c>
      <c r="M845" t="s">
        <v>32</v>
      </c>
      <c r="N845">
        <v>37</v>
      </c>
      <c r="O845" t="str" cm="1">
        <f t="array" ref="O845">_xlfn.IFS(N845&gt;=54,"old",N845&gt;=31,"middle age",N845&gt;=18,"adolsent",N845&lt;18,"invalid")</f>
        <v>middle age</v>
      </c>
      <c r="P845" t="s">
        <v>18</v>
      </c>
    </row>
    <row r="846" spans="3:16" x14ac:dyDescent="0.3">
      <c r="C846">
        <v>26354</v>
      </c>
      <c r="D846" t="s">
        <v>37</v>
      </c>
      <c r="E846" t="s">
        <v>38</v>
      </c>
      <c r="F846" s="3">
        <v>40000</v>
      </c>
      <c r="G846">
        <v>0</v>
      </c>
      <c r="H846" t="s">
        <v>31</v>
      </c>
      <c r="I846" t="s">
        <v>20</v>
      </c>
      <c r="J846" t="s">
        <v>18</v>
      </c>
      <c r="K846">
        <v>0</v>
      </c>
      <c r="L846" t="s">
        <v>16</v>
      </c>
      <c r="M846" t="s">
        <v>17</v>
      </c>
      <c r="N846">
        <v>38</v>
      </c>
      <c r="O846" t="str" cm="1">
        <f t="array" ref="O846">_xlfn.IFS(N846&gt;=54,"old",N846&gt;=31,"middle age",N846&gt;=18,"adolsent",N846&lt;18,"invalid")</f>
        <v>middle age</v>
      </c>
      <c r="P846" t="s">
        <v>15</v>
      </c>
    </row>
    <row r="847" spans="3:16" x14ac:dyDescent="0.3">
      <c r="C847">
        <v>26385</v>
      </c>
      <c r="D847" t="s">
        <v>37</v>
      </c>
      <c r="E847" t="s">
        <v>38</v>
      </c>
      <c r="F847" s="3">
        <v>120000</v>
      </c>
      <c r="G847">
        <v>3</v>
      </c>
      <c r="H847" t="s">
        <v>27</v>
      </c>
      <c r="I847" t="s">
        <v>21</v>
      </c>
      <c r="J847" t="s">
        <v>18</v>
      </c>
      <c r="K847">
        <v>4</v>
      </c>
      <c r="L847" t="s">
        <v>23</v>
      </c>
      <c r="M847" t="s">
        <v>17</v>
      </c>
      <c r="N847">
        <v>50</v>
      </c>
      <c r="O847" t="str" cm="1">
        <f t="array" ref="O847">_xlfn.IFS(N847&gt;=54,"old",N847&gt;=31,"middle age",N847&gt;=18,"adolsent",N847&lt;18,"invalid")</f>
        <v>middle age</v>
      </c>
      <c r="P847" t="s">
        <v>18</v>
      </c>
    </row>
    <row r="848" spans="3:16" x14ac:dyDescent="0.3">
      <c r="C848">
        <v>26412</v>
      </c>
      <c r="D848" t="s">
        <v>36</v>
      </c>
      <c r="E848" t="s">
        <v>39</v>
      </c>
      <c r="F848" s="3">
        <v>80000</v>
      </c>
      <c r="G848">
        <v>5</v>
      </c>
      <c r="H848" t="s">
        <v>27</v>
      </c>
      <c r="I848" t="s">
        <v>28</v>
      </c>
      <c r="J848" t="s">
        <v>18</v>
      </c>
      <c r="K848">
        <v>3</v>
      </c>
      <c r="L848" t="s">
        <v>23</v>
      </c>
      <c r="M848" t="s">
        <v>17</v>
      </c>
      <c r="N848">
        <v>56</v>
      </c>
      <c r="O848" t="str" cm="1">
        <f t="array" ref="O848">_xlfn.IFS(N848&gt;=54,"old",N848&gt;=31,"middle age",N848&gt;=18,"adolsent",N848&lt;18,"invalid")</f>
        <v>old</v>
      </c>
      <c r="P848" t="s">
        <v>18</v>
      </c>
    </row>
    <row r="849" spans="3:16" x14ac:dyDescent="0.3">
      <c r="C849">
        <v>26415</v>
      </c>
      <c r="D849" t="s">
        <v>36</v>
      </c>
      <c r="E849" t="s">
        <v>39</v>
      </c>
      <c r="F849" s="3">
        <v>90000</v>
      </c>
      <c r="G849">
        <v>4</v>
      </c>
      <c r="H849" t="s">
        <v>29</v>
      </c>
      <c r="I849" t="s">
        <v>14</v>
      </c>
      <c r="J849" t="s">
        <v>15</v>
      </c>
      <c r="K849">
        <v>4</v>
      </c>
      <c r="L849" t="s">
        <v>30</v>
      </c>
      <c r="M849" t="s">
        <v>17</v>
      </c>
      <c r="N849">
        <v>58</v>
      </c>
      <c r="O849" t="str" cm="1">
        <f t="array" ref="O849">_xlfn.IFS(N849&gt;=54,"old",N849&gt;=31,"middle age",N849&gt;=18,"adolsent",N849&lt;18,"invalid")</f>
        <v>old</v>
      </c>
      <c r="P849" t="s">
        <v>18</v>
      </c>
    </row>
    <row r="850" spans="3:16" x14ac:dyDescent="0.3">
      <c r="C850">
        <v>26452</v>
      </c>
      <c r="D850" t="s">
        <v>37</v>
      </c>
      <c r="E850" t="s">
        <v>38</v>
      </c>
      <c r="F850" s="3">
        <v>50000</v>
      </c>
      <c r="G850">
        <v>3</v>
      </c>
      <c r="H850" t="s">
        <v>31</v>
      </c>
      <c r="I850" t="s">
        <v>28</v>
      </c>
      <c r="J850" t="s">
        <v>15</v>
      </c>
      <c r="K850">
        <v>2</v>
      </c>
      <c r="L850" t="s">
        <v>30</v>
      </c>
      <c r="M850" t="s">
        <v>32</v>
      </c>
      <c r="N850">
        <v>69</v>
      </c>
      <c r="O850" t="str" cm="1">
        <f t="array" ref="O850">_xlfn.IFS(N850&gt;=54,"old",N850&gt;=31,"middle age",N850&gt;=18,"adolsent",N850&lt;18,"invalid")</f>
        <v>old</v>
      </c>
      <c r="P850" t="s">
        <v>18</v>
      </c>
    </row>
    <row r="851" spans="3:16" x14ac:dyDescent="0.3">
      <c r="C851">
        <v>26490</v>
      </c>
      <c r="D851" t="s">
        <v>37</v>
      </c>
      <c r="E851" t="s">
        <v>38</v>
      </c>
      <c r="F851" s="3">
        <v>70000</v>
      </c>
      <c r="G851">
        <v>2</v>
      </c>
      <c r="H851" t="s">
        <v>13</v>
      </c>
      <c r="I851" t="s">
        <v>28</v>
      </c>
      <c r="J851" t="s">
        <v>18</v>
      </c>
      <c r="K851">
        <v>1</v>
      </c>
      <c r="L851" t="s">
        <v>22</v>
      </c>
      <c r="M851" t="s">
        <v>32</v>
      </c>
      <c r="N851">
        <v>59</v>
      </c>
      <c r="O851" t="str" cm="1">
        <f t="array" ref="O851">_xlfn.IFS(N851&gt;=54,"old",N851&gt;=31,"middle age",N851&gt;=18,"adolsent",N851&lt;18,"invalid")</f>
        <v>old</v>
      </c>
      <c r="P851" t="s">
        <v>15</v>
      </c>
    </row>
    <row r="852" spans="3:16" x14ac:dyDescent="0.3">
      <c r="C852">
        <v>26495</v>
      </c>
      <c r="D852" t="s">
        <v>37</v>
      </c>
      <c r="E852" t="s">
        <v>39</v>
      </c>
      <c r="F852" s="3">
        <v>40000</v>
      </c>
      <c r="G852">
        <v>2</v>
      </c>
      <c r="H852" t="s">
        <v>27</v>
      </c>
      <c r="I852" t="s">
        <v>21</v>
      </c>
      <c r="J852" t="s">
        <v>15</v>
      </c>
      <c r="K852">
        <v>2</v>
      </c>
      <c r="L852" t="s">
        <v>30</v>
      </c>
      <c r="M852" t="s">
        <v>32</v>
      </c>
      <c r="N852">
        <v>57</v>
      </c>
      <c r="O852" t="str" cm="1">
        <f t="array" ref="O852">_xlfn.IFS(N852&gt;=54,"old",N852&gt;=31,"middle age",N852&gt;=18,"adolsent",N852&lt;18,"invalid")</f>
        <v>old</v>
      </c>
      <c r="P852" t="s">
        <v>18</v>
      </c>
    </row>
    <row r="853" spans="3:16" x14ac:dyDescent="0.3">
      <c r="C853">
        <v>26547</v>
      </c>
      <c r="D853" t="s">
        <v>37</v>
      </c>
      <c r="E853" t="s">
        <v>39</v>
      </c>
      <c r="F853" s="3">
        <v>30000</v>
      </c>
      <c r="G853">
        <v>2</v>
      </c>
      <c r="H853" t="s">
        <v>19</v>
      </c>
      <c r="I853" t="s">
        <v>20</v>
      </c>
      <c r="J853" t="s">
        <v>18</v>
      </c>
      <c r="K853">
        <v>2</v>
      </c>
      <c r="L853" t="s">
        <v>23</v>
      </c>
      <c r="M853" t="s">
        <v>24</v>
      </c>
      <c r="N853">
        <v>60</v>
      </c>
      <c r="O853" t="str" cm="1">
        <f t="array" ref="O853">_xlfn.IFS(N853&gt;=54,"old",N853&gt;=31,"middle age",N853&gt;=18,"adolsent",N853&lt;18,"invalid")</f>
        <v>old</v>
      </c>
      <c r="P853" t="s">
        <v>15</v>
      </c>
    </row>
    <row r="854" spans="3:16" x14ac:dyDescent="0.3">
      <c r="C854">
        <v>26575</v>
      </c>
      <c r="D854" t="s">
        <v>37</v>
      </c>
      <c r="E854" t="s">
        <v>39</v>
      </c>
      <c r="F854" s="3">
        <v>40000</v>
      </c>
      <c r="G854">
        <v>0</v>
      </c>
      <c r="H854" t="s">
        <v>27</v>
      </c>
      <c r="I854" t="s">
        <v>14</v>
      </c>
      <c r="J854" t="s">
        <v>18</v>
      </c>
      <c r="K854">
        <v>2</v>
      </c>
      <c r="L854" t="s">
        <v>26</v>
      </c>
      <c r="M854" t="s">
        <v>32</v>
      </c>
      <c r="N854">
        <v>31</v>
      </c>
      <c r="O854" t="str" cm="1">
        <f t="array" ref="O854">_xlfn.IFS(N854&gt;=54,"old",N854&gt;=31,"middle age",N854&gt;=18,"adolsent",N854&lt;18,"invalid")</f>
        <v>middle age</v>
      </c>
      <c r="P854" t="s">
        <v>15</v>
      </c>
    </row>
    <row r="855" spans="3:16" x14ac:dyDescent="0.3">
      <c r="C855">
        <v>26576</v>
      </c>
      <c r="D855" t="s">
        <v>36</v>
      </c>
      <c r="E855" t="s">
        <v>39</v>
      </c>
      <c r="F855" s="3">
        <v>60000</v>
      </c>
      <c r="G855">
        <v>0</v>
      </c>
      <c r="H855" t="s">
        <v>19</v>
      </c>
      <c r="I855" t="s">
        <v>14</v>
      </c>
      <c r="J855" t="s">
        <v>15</v>
      </c>
      <c r="K855">
        <v>2</v>
      </c>
      <c r="L855" t="s">
        <v>23</v>
      </c>
      <c r="M855" t="s">
        <v>32</v>
      </c>
      <c r="N855">
        <v>31</v>
      </c>
      <c r="O855" t="str" cm="1">
        <f t="array" ref="O855">_xlfn.IFS(N855&gt;=54,"old",N855&gt;=31,"middle age",N855&gt;=18,"adolsent",N855&lt;18,"invalid")</f>
        <v>middle age</v>
      </c>
      <c r="P855" t="s">
        <v>18</v>
      </c>
    </row>
    <row r="856" spans="3:16" x14ac:dyDescent="0.3">
      <c r="C856">
        <v>26582</v>
      </c>
      <c r="D856" t="s">
        <v>36</v>
      </c>
      <c r="E856" t="s">
        <v>38</v>
      </c>
      <c r="F856" s="3">
        <v>60000</v>
      </c>
      <c r="G856">
        <v>0</v>
      </c>
      <c r="H856" t="s">
        <v>19</v>
      </c>
      <c r="I856" t="s">
        <v>14</v>
      </c>
      <c r="J856" t="s">
        <v>15</v>
      </c>
      <c r="K856">
        <v>2</v>
      </c>
      <c r="L856" t="s">
        <v>23</v>
      </c>
      <c r="M856" t="s">
        <v>32</v>
      </c>
      <c r="N856">
        <v>33</v>
      </c>
      <c r="O856" t="str" cm="1">
        <f t="array" ref="O856">_xlfn.IFS(N856&gt;=54,"old",N856&gt;=31,"middle age",N856&gt;=18,"adolsent",N856&lt;18,"invalid")</f>
        <v>middle age</v>
      </c>
      <c r="P856" t="s">
        <v>15</v>
      </c>
    </row>
    <row r="857" spans="3:16" x14ac:dyDescent="0.3">
      <c r="C857">
        <v>26597</v>
      </c>
      <c r="D857" t="s">
        <v>37</v>
      </c>
      <c r="E857" t="s">
        <v>39</v>
      </c>
      <c r="F857" s="3">
        <v>60000</v>
      </c>
      <c r="G857">
        <v>4</v>
      </c>
      <c r="H857" t="s">
        <v>13</v>
      </c>
      <c r="I857" t="s">
        <v>14</v>
      </c>
      <c r="J857" t="s">
        <v>18</v>
      </c>
      <c r="K857">
        <v>2</v>
      </c>
      <c r="L857" t="s">
        <v>16</v>
      </c>
      <c r="M857" t="s">
        <v>32</v>
      </c>
      <c r="N857">
        <v>42</v>
      </c>
      <c r="O857" t="str" cm="1">
        <f t="array" ref="O857">_xlfn.IFS(N857&gt;=54,"old",N857&gt;=31,"middle age",N857&gt;=18,"adolsent",N857&lt;18,"invalid")</f>
        <v>middle age</v>
      </c>
      <c r="P857" t="s">
        <v>18</v>
      </c>
    </row>
    <row r="858" spans="3:16" x14ac:dyDescent="0.3">
      <c r="C858">
        <v>26625</v>
      </c>
      <c r="D858" t="s">
        <v>37</v>
      </c>
      <c r="E858" t="s">
        <v>39</v>
      </c>
      <c r="F858" s="3">
        <v>60000</v>
      </c>
      <c r="G858">
        <v>0</v>
      </c>
      <c r="H858" t="s">
        <v>31</v>
      </c>
      <c r="I858" t="s">
        <v>21</v>
      </c>
      <c r="J858" t="s">
        <v>15</v>
      </c>
      <c r="K858">
        <v>1</v>
      </c>
      <c r="L858" t="s">
        <v>22</v>
      </c>
      <c r="M858" t="s">
        <v>32</v>
      </c>
      <c r="N858">
        <v>38</v>
      </c>
      <c r="O858" t="str" cm="1">
        <f t="array" ref="O858">_xlfn.IFS(N858&gt;=54,"old",N858&gt;=31,"middle age",N858&gt;=18,"adolsent",N858&lt;18,"invalid")</f>
        <v>middle age</v>
      </c>
      <c r="P858" t="s">
        <v>15</v>
      </c>
    </row>
    <row r="859" spans="3:16" x14ac:dyDescent="0.3">
      <c r="C859">
        <v>26651</v>
      </c>
      <c r="D859" t="s">
        <v>37</v>
      </c>
      <c r="E859" t="s">
        <v>38</v>
      </c>
      <c r="F859" s="3">
        <v>80000</v>
      </c>
      <c r="G859">
        <v>4</v>
      </c>
      <c r="H859" t="s">
        <v>31</v>
      </c>
      <c r="I859" t="s">
        <v>28</v>
      </c>
      <c r="J859" t="s">
        <v>15</v>
      </c>
      <c r="K859">
        <v>0</v>
      </c>
      <c r="L859" t="s">
        <v>16</v>
      </c>
      <c r="M859" t="s">
        <v>24</v>
      </c>
      <c r="N859">
        <v>36</v>
      </c>
      <c r="O859" t="str" cm="1">
        <f t="array" ref="O859">_xlfn.IFS(N859&gt;=54,"old",N859&gt;=31,"middle age",N859&gt;=18,"adolsent",N859&lt;18,"invalid")</f>
        <v>middle age</v>
      </c>
      <c r="P859" t="s">
        <v>15</v>
      </c>
    </row>
    <row r="860" spans="3:16" x14ac:dyDescent="0.3">
      <c r="C860">
        <v>26654</v>
      </c>
      <c r="D860" t="s">
        <v>36</v>
      </c>
      <c r="E860" t="s">
        <v>39</v>
      </c>
      <c r="F860" s="3">
        <v>90000</v>
      </c>
      <c r="G860">
        <v>1</v>
      </c>
      <c r="H860" t="s">
        <v>31</v>
      </c>
      <c r="I860" t="s">
        <v>28</v>
      </c>
      <c r="J860" t="s">
        <v>15</v>
      </c>
      <c r="K860">
        <v>0</v>
      </c>
      <c r="L860" t="s">
        <v>16</v>
      </c>
      <c r="M860" t="s">
        <v>24</v>
      </c>
      <c r="N860">
        <v>37</v>
      </c>
      <c r="O860" t="str" cm="1">
        <f t="array" ref="O860">_xlfn.IFS(N860&gt;=54,"old",N860&gt;=31,"middle age",N860&gt;=18,"adolsent",N860&lt;18,"invalid")</f>
        <v>middle age</v>
      </c>
      <c r="P860" t="s">
        <v>15</v>
      </c>
    </row>
    <row r="861" spans="3:16" x14ac:dyDescent="0.3">
      <c r="C861">
        <v>26663</v>
      </c>
      <c r="D861" t="s">
        <v>37</v>
      </c>
      <c r="E861" t="s">
        <v>39</v>
      </c>
      <c r="F861" s="3">
        <v>60000</v>
      </c>
      <c r="G861">
        <v>2</v>
      </c>
      <c r="H861" t="s">
        <v>13</v>
      </c>
      <c r="I861" t="s">
        <v>21</v>
      </c>
      <c r="J861" t="s">
        <v>18</v>
      </c>
      <c r="K861">
        <v>1</v>
      </c>
      <c r="L861" t="s">
        <v>16</v>
      </c>
      <c r="M861" t="s">
        <v>24</v>
      </c>
      <c r="N861">
        <v>39</v>
      </c>
      <c r="O861" t="str" cm="1">
        <f t="array" ref="O861">_xlfn.IFS(N861&gt;=54,"old",N861&gt;=31,"middle age",N861&gt;=18,"adolsent",N861&lt;18,"invalid")</f>
        <v>middle age</v>
      </c>
      <c r="P861" t="s">
        <v>15</v>
      </c>
    </row>
    <row r="862" spans="3:16" x14ac:dyDescent="0.3">
      <c r="C862">
        <v>26678</v>
      </c>
      <c r="D862" t="s">
        <v>37</v>
      </c>
      <c r="E862" t="s">
        <v>39</v>
      </c>
      <c r="F862" s="3">
        <v>80000</v>
      </c>
      <c r="G862">
        <v>2</v>
      </c>
      <c r="H862" t="s">
        <v>29</v>
      </c>
      <c r="I862" t="s">
        <v>14</v>
      </c>
      <c r="J862" t="s">
        <v>15</v>
      </c>
      <c r="K862">
        <v>2</v>
      </c>
      <c r="L862" t="s">
        <v>23</v>
      </c>
      <c r="M862" t="s">
        <v>32</v>
      </c>
      <c r="N862">
        <v>49</v>
      </c>
      <c r="O862" t="str" cm="1">
        <f t="array" ref="O862">_xlfn.IFS(N862&gt;=54,"old",N862&gt;=31,"middle age",N862&gt;=18,"adolsent",N862&lt;18,"invalid")</f>
        <v>middle age</v>
      </c>
      <c r="P862" t="s">
        <v>18</v>
      </c>
    </row>
    <row r="863" spans="3:16" x14ac:dyDescent="0.3">
      <c r="C863">
        <v>26693</v>
      </c>
      <c r="D863" t="s">
        <v>36</v>
      </c>
      <c r="E863" t="s">
        <v>38</v>
      </c>
      <c r="F863" s="3">
        <v>70000</v>
      </c>
      <c r="G863">
        <v>3</v>
      </c>
      <c r="H863" t="s">
        <v>19</v>
      </c>
      <c r="I863" t="s">
        <v>21</v>
      </c>
      <c r="J863" t="s">
        <v>15</v>
      </c>
      <c r="K863">
        <v>1</v>
      </c>
      <c r="L863" t="s">
        <v>23</v>
      </c>
      <c r="M863" t="s">
        <v>32</v>
      </c>
      <c r="N863">
        <v>49</v>
      </c>
      <c r="O863" t="str" cm="1">
        <f t="array" ref="O863">_xlfn.IFS(N863&gt;=54,"old",N863&gt;=31,"middle age",N863&gt;=18,"adolsent",N863&lt;18,"invalid")</f>
        <v>middle age</v>
      </c>
      <c r="P863" t="s">
        <v>18</v>
      </c>
    </row>
    <row r="864" spans="3:16" x14ac:dyDescent="0.3">
      <c r="C864">
        <v>26728</v>
      </c>
      <c r="D864" t="s">
        <v>37</v>
      </c>
      <c r="E864" t="s">
        <v>38</v>
      </c>
      <c r="F864" s="3">
        <v>70000</v>
      </c>
      <c r="G864">
        <v>3</v>
      </c>
      <c r="H864" t="s">
        <v>31</v>
      </c>
      <c r="I864" t="s">
        <v>28</v>
      </c>
      <c r="J864" t="s">
        <v>18</v>
      </c>
      <c r="K864">
        <v>2</v>
      </c>
      <c r="L864" t="s">
        <v>26</v>
      </c>
      <c r="M864" t="s">
        <v>32</v>
      </c>
      <c r="N864">
        <v>53</v>
      </c>
      <c r="O864" t="str" cm="1">
        <f t="array" ref="O864">_xlfn.IFS(N864&gt;=54,"old",N864&gt;=31,"middle age",N864&gt;=18,"adolsent",N864&lt;18,"invalid")</f>
        <v>middle age</v>
      </c>
      <c r="P864" t="s">
        <v>15</v>
      </c>
    </row>
    <row r="865" spans="3:16" x14ac:dyDescent="0.3">
      <c r="C865">
        <v>26757</v>
      </c>
      <c r="D865" t="s">
        <v>37</v>
      </c>
      <c r="E865" t="s">
        <v>38</v>
      </c>
      <c r="F865" s="3">
        <v>90000</v>
      </c>
      <c r="G865">
        <v>1</v>
      </c>
      <c r="H865" t="s">
        <v>13</v>
      </c>
      <c r="I865" t="s">
        <v>21</v>
      </c>
      <c r="J865" t="s">
        <v>15</v>
      </c>
      <c r="K865">
        <v>1</v>
      </c>
      <c r="L865" t="s">
        <v>22</v>
      </c>
      <c r="M865" t="s">
        <v>24</v>
      </c>
      <c r="N865">
        <v>47</v>
      </c>
      <c r="O865" t="str" cm="1">
        <f t="array" ref="O865">_xlfn.IFS(N865&gt;=54,"old",N865&gt;=31,"middle age",N865&gt;=18,"adolsent",N865&lt;18,"invalid")</f>
        <v>middle age</v>
      </c>
      <c r="P865" t="s">
        <v>15</v>
      </c>
    </row>
    <row r="866" spans="3:16" x14ac:dyDescent="0.3">
      <c r="C866">
        <v>26765</v>
      </c>
      <c r="D866" t="s">
        <v>37</v>
      </c>
      <c r="E866" t="s">
        <v>39</v>
      </c>
      <c r="F866" s="3">
        <v>70000</v>
      </c>
      <c r="G866">
        <v>5</v>
      </c>
      <c r="H866" t="s">
        <v>19</v>
      </c>
      <c r="I866" t="s">
        <v>14</v>
      </c>
      <c r="J866" t="s">
        <v>15</v>
      </c>
      <c r="K866">
        <v>2</v>
      </c>
      <c r="L866" t="s">
        <v>23</v>
      </c>
      <c r="M866" t="s">
        <v>24</v>
      </c>
      <c r="N866">
        <v>45</v>
      </c>
      <c r="O866" t="str" cm="1">
        <f t="array" ref="O866">_xlfn.IFS(N866&gt;=54,"old",N866&gt;=31,"middle age",N866&gt;=18,"adolsent",N866&lt;18,"invalid")</f>
        <v>middle age</v>
      </c>
      <c r="P866" t="s">
        <v>18</v>
      </c>
    </row>
    <row r="867" spans="3:16" x14ac:dyDescent="0.3">
      <c r="C867">
        <v>26778</v>
      </c>
      <c r="D867" t="s">
        <v>37</v>
      </c>
      <c r="E867" t="s">
        <v>39</v>
      </c>
      <c r="F867" s="3">
        <v>40000</v>
      </c>
      <c r="G867">
        <v>0</v>
      </c>
      <c r="H867" t="s">
        <v>27</v>
      </c>
      <c r="I867" t="s">
        <v>14</v>
      </c>
      <c r="J867" t="s">
        <v>15</v>
      </c>
      <c r="K867">
        <v>2</v>
      </c>
      <c r="L867" t="s">
        <v>23</v>
      </c>
      <c r="M867" t="s">
        <v>32</v>
      </c>
      <c r="N867">
        <v>31</v>
      </c>
      <c r="O867" t="str" cm="1">
        <f t="array" ref="O867">_xlfn.IFS(N867&gt;=54,"old",N867&gt;=31,"middle age",N867&gt;=18,"adolsent",N867&lt;18,"invalid")</f>
        <v>middle age</v>
      </c>
      <c r="P867" t="s">
        <v>18</v>
      </c>
    </row>
    <row r="868" spans="3:16" x14ac:dyDescent="0.3">
      <c r="C868">
        <v>26796</v>
      </c>
      <c r="D868" t="s">
        <v>37</v>
      </c>
      <c r="E868" t="s">
        <v>38</v>
      </c>
      <c r="F868" s="3">
        <v>40000</v>
      </c>
      <c r="G868">
        <v>2</v>
      </c>
      <c r="H868" t="s">
        <v>13</v>
      </c>
      <c r="I868" t="s">
        <v>28</v>
      </c>
      <c r="J868" t="s">
        <v>15</v>
      </c>
      <c r="K868">
        <v>2</v>
      </c>
      <c r="L868" t="s">
        <v>23</v>
      </c>
      <c r="M868" t="s">
        <v>24</v>
      </c>
      <c r="N868">
        <v>65</v>
      </c>
      <c r="O868" t="str" cm="1">
        <f t="array" ref="O868">_xlfn.IFS(N868&gt;=54,"old",N868&gt;=31,"middle age",N868&gt;=18,"adolsent",N868&lt;18,"invalid")</f>
        <v>old</v>
      </c>
      <c r="P868" t="s">
        <v>15</v>
      </c>
    </row>
    <row r="869" spans="3:16" x14ac:dyDescent="0.3">
      <c r="C869">
        <v>26818</v>
      </c>
      <c r="D869" t="s">
        <v>37</v>
      </c>
      <c r="E869" t="s">
        <v>38</v>
      </c>
      <c r="F869" s="3">
        <v>10000</v>
      </c>
      <c r="G869">
        <v>3</v>
      </c>
      <c r="H869" t="s">
        <v>27</v>
      </c>
      <c r="I869" t="s">
        <v>25</v>
      </c>
      <c r="J869" t="s">
        <v>15</v>
      </c>
      <c r="K869">
        <v>1</v>
      </c>
      <c r="L869" t="s">
        <v>16</v>
      </c>
      <c r="M869" t="s">
        <v>17</v>
      </c>
      <c r="N869">
        <v>39</v>
      </c>
      <c r="O869" t="str" cm="1">
        <f t="array" ref="O869">_xlfn.IFS(N869&gt;=54,"old",N869&gt;=31,"middle age",N869&gt;=18,"adolsent",N869&lt;18,"invalid")</f>
        <v>middle age</v>
      </c>
      <c r="P869" t="s">
        <v>15</v>
      </c>
    </row>
    <row r="870" spans="3:16" x14ac:dyDescent="0.3">
      <c r="C870">
        <v>26829</v>
      </c>
      <c r="D870" t="s">
        <v>36</v>
      </c>
      <c r="E870" t="s">
        <v>39</v>
      </c>
      <c r="F870" s="3">
        <v>40000</v>
      </c>
      <c r="G870">
        <v>0</v>
      </c>
      <c r="H870" t="s">
        <v>13</v>
      </c>
      <c r="I870" t="s">
        <v>20</v>
      </c>
      <c r="J870" t="s">
        <v>15</v>
      </c>
      <c r="K870">
        <v>0</v>
      </c>
      <c r="L870" t="s">
        <v>16</v>
      </c>
      <c r="M870" t="s">
        <v>17</v>
      </c>
      <c r="N870">
        <v>38</v>
      </c>
      <c r="O870" t="str" cm="1">
        <f t="array" ref="O870">_xlfn.IFS(N870&gt;=54,"old",N870&gt;=31,"middle age",N870&gt;=18,"adolsent",N870&lt;18,"invalid")</f>
        <v>middle age</v>
      </c>
      <c r="P870" t="s">
        <v>15</v>
      </c>
    </row>
    <row r="871" spans="3:16" x14ac:dyDescent="0.3">
      <c r="C871">
        <v>26849</v>
      </c>
      <c r="D871" t="s">
        <v>36</v>
      </c>
      <c r="E871" t="s">
        <v>38</v>
      </c>
      <c r="F871" s="3">
        <v>10000</v>
      </c>
      <c r="G871">
        <v>3</v>
      </c>
      <c r="H871" t="s">
        <v>29</v>
      </c>
      <c r="I871" t="s">
        <v>25</v>
      </c>
      <c r="J871" t="s">
        <v>15</v>
      </c>
      <c r="K871">
        <v>2</v>
      </c>
      <c r="L871" t="s">
        <v>16</v>
      </c>
      <c r="M871" t="s">
        <v>17</v>
      </c>
      <c r="N871">
        <v>43</v>
      </c>
      <c r="O871" t="str" cm="1">
        <f t="array" ref="O871">_xlfn.IFS(N871&gt;=54,"old",N871&gt;=31,"middle age",N871&gt;=18,"adolsent",N871&lt;18,"invalid")</f>
        <v>middle age</v>
      </c>
      <c r="P871" t="s">
        <v>18</v>
      </c>
    </row>
    <row r="872" spans="3:16" x14ac:dyDescent="0.3">
      <c r="C872">
        <v>26852</v>
      </c>
      <c r="D872" t="s">
        <v>36</v>
      </c>
      <c r="E872" t="s">
        <v>39</v>
      </c>
      <c r="F872" s="3">
        <v>20000</v>
      </c>
      <c r="G872">
        <v>3</v>
      </c>
      <c r="H872" t="s">
        <v>27</v>
      </c>
      <c r="I872" t="s">
        <v>25</v>
      </c>
      <c r="J872" t="s">
        <v>15</v>
      </c>
      <c r="K872">
        <v>2</v>
      </c>
      <c r="L872" t="s">
        <v>16</v>
      </c>
      <c r="M872" t="s">
        <v>17</v>
      </c>
      <c r="N872">
        <v>43</v>
      </c>
      <c r="O872" t="str" cm="1">
        <f t="array" ref="O872">_xlfn.IFS(N872&gt;=54,"old",N872&gt;=31,"middle age",N872&gt;=18,"adolsent",N872&lt;18,"invalid")</f>
        <v>middle age</v>
      </c>
      <c r="P872" t="s">
        <v>18</v>
      </c>
    </row>
    <row r="873" spans="3:16" x14ac:dyDescent="0.3">
      <c r="C873">
        <v>26863</v>
      </c>
      <c r="D873" t="s">
        <v>37</v>
      </c>
      <c r="E873" t="s">
        <v>38</v>
      </c>
      <c r="F873" s="3">
        <v>20000</v>
      </c>
      <c r="G873">
        <v>0</v>
      </c>
      <c r="H873" t="s">
        <v>27</v>
      </c>
      <c r="I873" t="s">
        <v>25</v>
      </c>
      <c r="J873" t="s">
        <v>18</v>
      </c>
      <c r="K873">
        <v>1</v>
      </c>
      <c r="L873" t="s">
        <v>22</v>
      </c>
      <c r="M873" t="s">
        <v>17</v>
      </c>
      <c r="N873">
        <v>28</v>
      </c>
      <c r="O873" t="str" cm="1">
        <f t="array" ref="O873">_xlfn.IFS(N873&gt;=54,"old",N873&gt;=31,"middle age",N873&gt;=18,"adolsent",N873&lt;18,"invalid")</f>
        <v>adolsent</v>
      </c>
      <c r="P873" t="s">
        <v>18</v>
      </c>
    </row>
    <row r="874" spans="3:16" x14ac:dyDescent="0.3">
      <c r="C874">
        <v>26879</v>
      </c>
      <c r="D874" t="s">
        <v>37</v>
      </c>
      <c r="E874" t="s">
        <v>39</v>
      </c>
      <c r="F874" s="3">
        <v>20000</v>
      </c>
      <c r="G874">
        <v>0</v>
      </c>
      <c r="H874" t="s">
        <v>27</v>
      </c>
      <c r="I874" t="s">
        <v>25</v>
      </c>
      <c r="J874" t="s">
        <v>18</v>
      </c>
      <c r="K874">
        <v>1</v>
      </c>
      <c r="L874" t="s">
        <v>22</v>
      </c>
      <c r="M874" t="s">
        <v>17</v>
      </c>
      <c r="N874">
        <v>30</v>
      </c>
      <c r="O874" t="str" cm="1">
        <f t="array" ref="O874">_xlfn.IFS(N874&gt;=54,"old",N874&gt;=31,"middle age",N874&gt;=18,"adolsent",N874&lt;18,"invalid")</f>
        <v>adolsent</v>
      </c>
      <c r="P874" t="s">
        <v>18</v>
      </c>
    </row>
    <row r="875" spans="3:16" x14ac:dyDescent="0.3">
      <c r="C875">
        <v>26886</v>
      </c>
      <c r="D875" t="s">
        <v>37</v>
      </c>
      <c r="E875" t="s">
        <v>39</v>
      </c>
      <c r="F875" s="3">
        <v>30000</v>
      </c>
      <c r="G875">
        <v>0</v>
      </c>
      <c r="H875" t="s">
        <v>19</v>
      </c>
      <c r="I875" t="s">
        <v>20</v>
      </c>
      <c r="J875" t="s">
        <v>18</v>
      </c>
      <c r="K875">
        <v>1</v>
      </c>
      <c r="L875" t="s">
        <v>16</v>
      </c>
      <c r="M875" t="s">
        <v>17</v>
      </c>
      <c r="N875">
        <v>29</v>
      </c>
      <c r="O875" t="str" cm="1">
        <f t="array" ref="O875">_xlfn.IFS(N875&gt;=54,"old",N875&gt;=31,"middle age",N875&gt;=18,"adolsent",N875&lt;18,"invalid")</f>
        <v>adolsent</v>
      </c>
      <c r="P875" t="s">
        <v>15</v>
      </c>
    </row>
    <row r="876" spans="3:16" x14ac:dyDescent="0.3">
      <c r="C876">
        <v>26928</v>
      </c>
      <c r="D876" t="s">
        <v>37</v>
      </c>
      <c r="E876" t="s">
        <v>38</v>
      </c>
      <c r="F876" s="3">
        <v>30000</v>
      </c>
      <c r="G876">
        <v>1</v>
      </c>
      <c r="H876" t="s">
        <v>13</v>
      </c>
      <c r="I876" t="s">
        <v>20</v>
      </c>
      <c r="J876" t="s">
        <v>15</v>
      </c>
      <c r="K876">
        <v>0</v>
      </c>
      <c r="L876" t="s">
        <v>16</v>
      </c>
      <c r="M876" t="s">
        <v>17</v>
      </c>
      <c r="N876">
        <v>62</v>
      </c>
      <c r="O876" t="str" cm="1">
        <f t="array" ref="O876">_xlfn.IFS(N876&gt;=54,"old",N876&gt;=31,"middle age",N876&gt;=18,"adolsent",N876&lt;18,"invalid")</f>
        <v>old</v>
      </c>
      <c r="P876" t="s">
        <v>15</v>
      </c>
    </row>
    <row r="877" spans="3:16" x14ac:dyDescent="0.3">
      <c r="C877">
        <v>26941</v>
      </c>
      <c r="D877" t="s">
        <v>36</v>
      </c>
      <c r="E877" t="s">
        <v>38</v>
      </c>
      <c r="F877" s="3">
        <v>30000</v>
      </c>
      <c r="G877">
        <v>0</v>
      </c>
      <c r="H877" t="s">
        <v>13</v>
      </c>
      <c r="I877" t="s">
        <v>20</v>
      </c>
      <c r="J877" t="s">
        <v>15</v>
      </c>
      <c r="K877">
        <v>0</v>
      </c>
      <c r="L877" t="s">
        <v>16</v>
      </c>
      <c r="M877" t="s">
        <v>17</v>
      </c>
      <c r="N877">
        <v>47</v>
      </c>
      <c r="O877" t="str" cm="1">
        <f t="array" ref="O877">_xlfn.IFS(N877&gt;=54,"old",N877&gt;=31,"middle age",N877&gt;=18,"adolsent",N877&lt;18,"invalid")</f>
        <v>middle age</v>
      </c>
      <c r="P877" t="s">
        <v>15</v>
      </c>
    </row>
    <row r="878" spans="3:16" x14ac:dyDescent="0.3">
      <c r="C878">
        <v>26944</v>
      </c>
      <c r="D878" t="s">
        <v>37</v>
      </c>
      <c r="E878" t="s">
        <v>38</v>
      </c>
      <c r="F878" s="3">
        <v>90000</v>
      </c>
      <c r="G878">
        <v>2</v>
      </c>
      <c r="H878" t="s">
        <v>27</v>
      </c>
      <c r="I878" t="s">
        <v>25</v>
      </c>
      <c r="J878" t="s">
        <v>15</v>
      </c>
      <c r="K878">
        <v>0</v>
      </c>
      <c r="L878" t="s">
        <v>16</v>
      </c>
      <c r="M878" t="s">
        <v>17</v>
      </c>
      <c r="N878">
        <v>36</v>
      </c>
      <c r="O878" t="str" cm="1">
        <f t="array" ref="O878">_xlfn.IFS(N878&gt;=54,"old",N878&gt;=31,"middle age",N878&gt;=18,"adolsent",N878&lt;18,"invalid")</f>
        <v>middle age</v>
      </c>
      <c r="P878" t="s">
        <v>15</v>
      </c>
    </row>
    <row r="879" spans="3:16" x14ac:dyDescent="0.3">
      <c r="C879">
        <v>26956</v>
      </c>
      <c r="D879" t="s">
        <v>37</v>
      </c>
      <c r="E879" t="s">
        <v>39</v>
      </c>
      <c r="F879" s="3">
        <v>20000</v>
      </c>
      <c r="G879">
        <v>0</v>
      </c>
      <c r="H879" t="s">
        <v>19</v>
      </c>
      <c r="I879" t="s">
        <v>25</v>
      </c>
      <c r="J879" t="s">
        <v>18</v>
      </c>
      <c r="K879">
        <v>1</v>
      </c>
      <c r="L879" t="s">
        <v>22</v>
      </c>
      <c r="M879" t="s">
        <v>17</v>
      </c>
      <c r="N879">
        <v>36</v>
      </c>
      <c r="O879" t="str" cm="1">
        <f t="array" ref="O879">_xlfn.IFS(N879&gt;=54,"old",N879&gt;=31,"middle age",N879&gt;=18,"adolsent",N879&lt;18,"invalid")</f>
        <v>middle age</v>
      </c>
      <c r="P879" t="s">
        <v>15</v>
      </c>
    </row>
    <row r="880" spans="3:16" x14ac:dyDescent="0.3">
      <c r="C880">
        <v>26984</v>
      </c>
      <c r="D880" t="s">
        <v>36</v>
      </c>
      <c r="E880" t="s">
        <v>38</v>
      </c>
      <c r="F880" s="3">
        <v>40000</v>
      </c>
      <c r="G880">
        <v>1</v>
      </c>
      <c r="H880" t="s">
        <v>13</v>
      </c>
      <c r="I880" t="s">
        <v>14</v>
      </c>
      <c r="J880" t="s">
        <v>15</v>
      </c>
      <c r="K880">
        <v>1</v>
      </c>
      <c r="L880" t="s">
        <v>16</v>
      </c>
      <c r="M880" t="s">
        <v>17</v>
      </c>
      <c r="N880">
        <v>32</v>
      </c>
      <c r="O880" t="str" cm="1">
        <f t="array" ref="O880">_xlfn.IFS(N880&gt;=54,"old",N880&gt;=31,"middle age",N880&gt;=18,"adolsent",N880&lt;18,"invalid")</f>
        <v>middle age</v>
      </c>
      <c r="P880" t="s">
        <v>15</v>
      </c>
    </row>
    <row r="881" spans="3:16" x14ac:dyDescent="0.3">
      <c r="C881">
        <v>27040</v>
      </c>
      <c r="D881" t="s">
        <v>36</v>
      </c>
      <c r="E881" t="s">
        <v>38</v>
      </c>
      <c r="F881" s="3">
        <v>20000</v>
      </c>
      <c r="G881">
        <v>2</v>
      </c>
      <c r="H881" t="s">
        <v>29</v>
      </c>
      <c r="I881" t="s">
        <v>20</v>
      </c>
      <c r="J881" t="s">
        <v>15</v>
      </c>
      <c r="K881">
        <v>2</v>
      </c>
      <c r="L881" t="s">
        <v>26</v>
      </c>
      <c r="M881" t="s">
        <v>32</v>
      </c>
      <c r="N881">
        <v>49</v>
      </c>
      <c r="O881" t="str" cm="1">
        <f t="array" ref="O881">_xlfn.IFS(N881&gt;=54,"old",N881&gt;=31,"middle age",N881&gt;=18,"adolsent",N881&lt;18,"invalid")</f>
        <v>middle age</v>
      </c>
      <c r="P881" t="s">
        <v>18</v>
      </c>
    </row>
    <row r="882" spans="3:16" x14ac:dyDescent="0.3">
      <c r="C882">
        <v>27074</v>
      </c>
      <c r="D882" t="s">
        <v>36</v>
      </c>
      <c r="E882" t="s">
        <v>39</v>
      </c>
      <c r="F882" s="3">
        <v>70000</v>
      </c>
      <c r="G882">
        <v>1</v>
      </c>
      <c r="H882" t="s">
        <v>31</v>
      </c>
      <c r="I882" t="s">
        <v>14</v>
      </c>
      <c r="J882" t="s">
        <v>15</v>
      </c>
      <c r="K882">
        <v>0</v>
      </c>
      <c r="L882" t="s">
        <v>16</v>
      </c>
      <c r="M882" t="s">
        <v>32</v>
      </c>
      <c r="N882">
        <v>35</v>
      </c>
      <c r="O882" t="str" cm="1">
        <f t="array" ref="O882">_xlfn.IFS(N882&gt;=54,"old",N882&gt;=31,"middle age",N882&gt;=18,"adolsent",N882&lt;18,"invalid")</f>
        <v>middle age</v>
      </c>
      <c r="P882" t="s">
        <v>15</v>
      </c>
    </row>
    <row r="883" spans="3:16" x14ac:dyDescent="0.3">
      <c r="C883">
        <v>27090</v>
      </c>
      <c r="D883" t="s">
        <v>36</v>
      </c>
      <c r="E883" t="s">
        <v>39</v>
      </c>
      <c r="F883" s="3">
        <v>60000</v>
      </c>
      <c r="G883">
        <v>1</v>
      </c>
      <c r="H883" t="s">
        <v>31</v>
      </c>
      <c r="I883" t="s">
        <v>21</v>
      </c>
      <c r="J883" t="s">
        <v>15</v>
      </c>
      <c r="K883">
        <v>0</v>
      </c>
      <c r="L883" t="s">
        <v>22</v>
      </c>
      <c r="M883" t="s">
        <v>32</v>
      </c>
      <c r="N883">
        <v>37</v>
      </c>
      <c r="O883" t="str" cm="1">
        <f t="array" ref="O883">_xlfn.IFS(N883&gt;=54,"old",N883&gt;=31,"middle age",N883&gt;=18,"adolsent",N883&lt;18,"invalid")</f>
        <v>middle age</v>
      </c>
      <c r="P883" t="s">
        <v>15</v>
      </c>
    </row>
    <row r="884" spans="3:16" x14ac:dyDescent="0.3">
      <c r="C884">
        <v>27165</v>
      </c>
      <c r="D884" t="s">
        <v>37</v>
      </c>
      <c r="E884" t="s">
        <v>38</v>
      </c>
      <c r="F884" s="3">
        <v>20000</v>
      </c>
      <c r="G884">
        <v>0</v>
      </c>
      <c r="H884" t="s">
        <v>29</v>
      </c>
      <c r="I884" t="s">
        <v>25</v>
      </c>
      <c r="J884" t="s">
        <v>18</v>
      </c>
      <c r="K884">
        <v>2</v>
      </c>
      <c r="L884" t="s">
        <v>16</v>
      </c>
      <c r="M884" t="s">
        <v>17</v>
      </c>
      <c r="N884">
        <v>34</v>
      </c>
      <c r="O884" t="str" cm="1">
        <f t="array" ref="O884">_xlfn.IFS(N884&gt;=54,"old",N884&gt;=31,"middle age",N884&gt;=18,"adolsent",N884&lt;18,"invalid")</f>
        <v>middle age</v>
      </c>
      <c r="P884" t="s">
        <v>18</v>
      </c>
    </row>
    <row r="885" spans="3:16" x14ac:dyDescent="0.3">
      <c r="C885">
        <v>27169</v>
      </c>
      <c r="D885" t="s">
        <v>37</v>
      </c>
      <c r="E885" t="s">
        <v>38</v>
      </c>
      <c r="F885" s="3">
        <v>30000</v>
      </c>
      <c r="G885">
        <v>0</v>
      </c>
      <c r="H885" t="s">
        <v>27</v>
      </c>
      <c r="I885" t="s">
        <v>25</v>
      </c>
      <c r="J885" t="s">
        <v>15</v>
      </c>
      <c r="K885">
        <v>1</v>
      </c>
      <c r="L885" t="s">
        <v>22</v>
      </c>
      <c r="M885" t="s">
        <v>17</v>
      </c>
      <c r="N885">
        <v>34</v>
      </c>
      <c r="O885" t="str" cm="1">
        <f t="array" ref="O885">_xlfn.IFS(N885&gt;=54,"old",N885&gt;=31,"middle age",N885&gt;=18,"adolsent",N885&lt;18,"invalid")</f>
        <v>middle age</v>
      </c>
      <c r="P885" t="s">
        <v>15</v>
      </c>
    </row>
    <row r="886" spans="3:16" x14ac:dyDescent="0.3">
      <c r="C886">
        <v>27183</v>
      </c>
      <c r="D886" t="s">
        <v>37</v>
      </c>
      <c r="E886" t="s">
        <v>38</v>
      </c>
      <c r="F886" s="3">
        <v>40000</v>
      </c>
      <c r="G886">
        <v>2</v>
      </c>
      <c r="H886" t="s">
        <v>19</v>
      </c>
      <c r="I886" t="s">
        <v>20</v>
      </c>
      <c r="J886" t="s">
        <v>15</v>
      </c>
      <c r="K886">
        <v>1</v>
      </c>
      <c r="L886" t="s">
        <v>26</v>
      </c>
      <c r="M886" t="s">
        <v>17</v>
      </c>
      <c r="N886">
        <v>35</v>
      </c>
      <c r="O886" t="str" cm="1">
        <f t="array" ref="O886">_xlfn.IFS(N886&gt;=54,"old",N886&gt;=31,"middle age",N886&gt;=18,"adolsent",N886&lt;18,"invalid")</f>
        <v>middle age</v>
      </c>
      <c r="P886" t="s">
        <v>15</v>
      </c>
    </row>
    <row r="887" spans="3:16" x14ac:dyDescent="0.3">
      <c r="C887">
        <v>27184</v>
      </c>
      <c r="D887" t="s">
        <v>37</v>
      </c>
      <c r="E887" t="s">
        <v>38</v>
      </c>
      <c r="F887" s="3">
        <v>40000</v>
      </c>
      <c r="G887">
        <v>2</v>
      </c>
      <c r="H887" t="s">
        <v>19</v>
      </c>
      <c r="I887" t="s">
        <v>20</v>
      </c>
      <c r="J887" t="s">
        <v>18</v>
      </c>
      <c r="K887">
        <v>1</v>
      </c>
      <c r="L887" t="s">
        <v>16</v>
      </c>
      <c r="M887" t="s">
        <v>17</v>
      </c>
      <c r="N887">
        <v>34</v>
      </c>
      <c r="O887" t="str" cm="1">
        <f t="array" ref="O887">_xlfn.IFS(N887&gt;=54,"old",N887&gt;=31,"middle age",N887&gt;=18,"adolsent",N887&lt;18,"invalid")</f>
        <v>middle age</v>
      </c>
      <c r="P887" t="s">
        <v>18</v>
      </c>
    </row>
    <row r="888" spans="3:16" x14ac:dyDescent="0.3">
      <c r="C888">
        <v>27190</v>
      </c>
      <c r="D888" t="s">
        <v>36</v>
      </c>
      <c r="E888" t="s">
        <v>39</v>
      </c>
      <c r="F888" s="3">
        <v>40000</v>
      </c>
      <c r="G888">
        <v>3</v>
      </c>
      <c r="H888" t="s">
        <v>19</v>
      </c>
      <c r="I888" t="s">
        <v>20</v>
      </c>
      <c r="J888" t="s">
        <v>15</v>
      </c>
      <c r="K888">
        <v>1</v>
      </c>
      <c r="L888" t="s">
        <v>26</v>
      </c>
      <c r="M888" t="s">
        <v>32</v>
      </c>
      <c r="N888">
        <v>32</v>
      </c>
      <c r="O888" t="str" cm="1">
        <f t="array" ref="O888">_xlfn.IFS(N888&gt;=54,"old",N888&gt;=31,"middle age",N888&gt;=18,"adolsent",N888&lt;18,"invalid")</f>
        <v>middle age</v>
      </c>
      <c r="P888" t="s">
        <v>18</v>
      </c>
    </row>
    <row r="889" spans="3:16" x14ac:dyDescent="0.3">
      <c r="C889">
        <v>27198</v>
      </c>
      <c r="D889" t="s">
        <v>37</v>
      </c>
      <c r="E889" t="s">
        <v>39</v>
      </c>
      <c r="F889" s="3">
        <v>80000</v>
      </c>
      <c r="G889">
        <v>0</v>
      </c>
      <c r="H889" t="s">
        <v>31</v>
      </c>
      <c r="I889" t="s">
        <v>14</v>
      </c>
      <c r="J889" t="s">
        <v>18</v>
      </c>
      <c r="K889">
        <v>0</v>
      </c>
      <c r="L889" t="s">
        <v>16</v>
      </c>
      <c r="M889" t="s">
        <v>32</v>
      </c>
      <c r="N889">
        <v>40</v>
      </c>
      <c r="O889" t="str" cm="1">
        <f t="array" ref="O889">_xlfn.IFS(N889&gt;=54,"old",N889&gt;=31,"middle age",N889&gt;=18,"adolsent",N889&lt;18,"invalid")</f>
        <v>middle age</v>
      </c>
      <c r="P889" t="s">
        <v>18</v>
      </c>
    </row>
    <row r="890" spans="3:16" x14ac:dyDescent="0.3">
      <c r="C890">
        <v>27218</v>
      </c>
      <c r="D890" t="s">
        <v>36</v>
      </c>
      <c r="E890" t="s">
        <v>39</v>
      </c>
      <c r="F890" s="3">
        <v>20000</v>
      </c>
      <c r="G890">
        <v>2</v>
      </c>
      <c r="H890" t="s">
        <v>29</v>
      </c>
      <c r="I890" t="s">
        <v>20</v>
      </c>
      <c r="J890" t="s">
        <v>18</v>
      </c>
      <c r="K890">
        <v>0</v>
      </c>
      <c r="L890" t="s">
        <v>16</v>
      </c>
      <c r="M890" t="s">
        <v>32</v>
      </c>
      <c r="N890">
        <v>48</v>
      </c>
      <c r="O890" t="str" cm="1">
        <f t="array" ref="O890">_xlfn.IFS(N890&gt;=54,"old",N890&gt;=31,"middle age",N890&gt;=18,"adolsent",N890&lt;18,"invalid")</f>
        <v>middle age</v>
      </c>
      <c r="P890" t="s">
        <v>18</v>
      </c>
    </row>
    <row r="891" spans="3:16" x14ac:dyDescent="0.3">
      <c r="C891">
        <v>27261</v>
      </c>
      <c r="D891" t="s">
        <v>36</v>
      </c>
      <c r="E891" t="s">
        <v>38</v>
      </c>
      <c r="F891" s="3">
        <v>40000</v>
      </c>
      <c r="G891">
        <v>1</v>
      </c>
      <c r="H891" t="s">
        <v>13</v>
      </c>
      <c r="I891" t="s">
        <v>14</v>
      </c>
      <c r="J891" t="s">
        <v>18</v>
      </c>
      <c r="K891">
        <v>1</v>
      </c>
      <c r="L891" t="s">
        <v>16</v>
      </c>
      <c r="M891" t="s">
        <v>32</v>
      </c>
      <c r="N891">
        <v>36</v>
      </c>
      <c r="O891" t="str" cm="1">
        <f t="array" ref="O891">_xlfn.IFS(N891&gt;=54,"old",N891&gt;=31,"middle age",N891&gt;=18,"adolsent",N891&lt;18,"invalid")</f>
        <v>middle age</v>
      </c>
      <c r="P891" t="s">
        <v>15</v>
      </c>
    </row>
    <row r="892" spans="3:16" x14ac:dyDescent="0.3">
      <c r="C892">
        <v>27273</v>
      </c>
      <c r="D892" t="s">
        <v>37</v>
      </c>
      <c r="E892" t="s">
        <v>38</v>
      </c>
      <c r="F892" s="3">
        <v>70000</v>
      </c>
      <c r="G892">
        <v>3</v>
      </c>
      <c r="H892" t="s">
        <v>31</v>
      </c>
      <c r="I892" t="s">
        <v>21</v>
      </c>
      <c r="J892" t="s">
        <v>18</v>
      </c>
      <c r="K892">
        <v>0</v>
      </c>
      <c r="L892" t="s">
        <v>16</v>
      </c>
      <c r="M892" t="s">
        <v>32</v>
      </c>
      <c r="N892">
        <v>35</v>
      </c>
      <c r="O892" t="str" cm="1">
        <f t="array" ref="O892">_xlfn.IFS(N892&gt;=54,"old",N892&gt;=31,"middle age",N892&gt;=18,"adolsent",N892&lt;18,"invalid")</f>
        <v>middle age</v>
      </c>
      <c r="P892" t="s">
        <v>15</v>
      </c>
    </row>
    <row r="893" spans="3:16" x14ac:dyDescent="0.3">
      <c r="C893">
        <v>27279</v>
      </c>
      <c r="D893" t="s">
        <v>37</v>
      </c>
      <c r="E893" t="s">
        <v>39</v>
      </c>
      <c r="F893" s="3">
        <v>70000</v>
      </c>
      <c r="G893">
        <v>2</v>
      </c>
      <c r="H893" t="s">
        <v>13</v>
      </c>
      <c r="I893" t="s">
        <v>14</v>
      </c>
      <c r="J893" t="s">
        <v>15</v>
      </c>
      <c r="K893">
        <v>0</v>
      </c>
      <c r="L893" t="s">
        <v>22</v>
      </c>
      <c r="M893" t="s">
        <v>32</v>
      </c>
      <c r="N893">
        <v>38</v>
      </c>
      <c r="O893" t="str" cm="1">
        <f t="array" ref="O893">_xlfn.IFS(N893&gt;=54,"old",N893&gt;=31,"middle age",N893&gt;=18,"adolsent",N893&lt;18,"invalid")</f>
        <v>middle age</v>
      </c>
      <c r="P893" t="s">
        <v>15</v>
      </c>
    </row>
    <row r="894" spans="3:16" x14ac:dyDescent="0.3">
      <c r="C894">
        <v>27304</v>
      </c>
      <c r="D894" t="s">
        <v>37</v>
      </c>
      <c r="E894" t="s">
        <v>39</v>
      </c>
      <c r="F894" s="3">
        <v>110000</v>
      </c>
      <c r="G894">
        <v>2</v>
      </c>
      <c r="H894" t="s">
        <v>19</v>
      </c>
      <c r="I894" t="s">
        <v>21</v>
      </c>
      <c r="J894" t="s">
        <v>18</v>
      </c>
      <c r="K894">
        <v>3</v>
      </c>
      <c r="L894" t="s">
        <v>23</v>
      </c>
      <c r="M894" t="s">
        <v>17</v>
      </c>
      <c r="N894">
        <v>48</v>
      </c>
      <c r="O894" t="str" cm="1">
        <f t="array" ref="O894">_xlfn.IFS(N894&gt;=54,"old",N894&gt;=31,"middle age",N894&gt;=18,"adolsent",N894&lt;18,"invalid")</f>
        <v>middle age</v>
      </c>
      <c r="P894" t="s">
        <v>18</v>
      </c>
    </row>
    <row r="895" spans="3:16" x14ac:dyDescent="0.3">
      <c r="C895">
        <v>27388</v>
      </c>
      <c r="D895" t="s">
        <v>36</v>
      </c>
      <c r="E895" t="s">
        <v>38</v>
      </c>
      <c r="F895" s="3">
        <v>60000</v>
      </c>
      <c r="G895">
        <v>3</v>
      </c>
      <c r="H895" t="s">
        <v>13</v>
      </c>
      <c r="I895" t="s">
        <v>28</v>
      </c>
      <c r="J895" t="s">
        <v>18</v>
      </c>
      <c r="K895">
        <v>2</v>
      </c>
      <c r="L895" t="s">
        <v>26</v>
      </c>
      <c r="M895" t="s">
        <v>32</v>
      </c>
      <c r="N895">
        <v>66</v>
      </c>
      <c r="O895" t="str" cm="1">
        <f t="array" ref="O895">_xlfn.IFS(N895&gt;=54,"old",N895&gt;=31,"middle age",N895&gt;=18,"adolsent",N895&lt;18,"invalid")</f>
        <v>old</v>
      </c>
      <c r="P895" t="s">
        <v>18</v>
      </c>
    </row>
    <row r="896" spans="3:16" x14ac:dyDescent="0.3">
      <c r="C896">
        <v>27393</v>
      </c>
      <c r="D896" t="s">
        <v>36</v>
      </c>
      <c r="E896" t="s">
        <v>39</v>
      </c>
      <c r="F896" s="3">
        <v>50000</v>
      </c>
      <c r="G896">
        <v>4</v>
      </c>
      <c r="H896" t="s">
        <v>13</v>
      </c>
      <c r="I896" t="s">
        <v>28</v>
      </c>
      <c r="J896" t="s">
        <v>15</v>
      </c>
      <c r="K896">
        <v>2</v>
      </c>
      <c r="L896" t="s">
        <v>30</v>
      </c>
      <c r="M896" t="s">
        <v>32</v>
      </c>
      <c r="N896">
        <v>63</v>
      </c>
      <c r="O896" t="str" cm="1">
        <f t="array" ref="O896">_xlfn.IFS(N896&gt;=54,"old",N896&gt;=31,"middle age",N896&gt;=18,"adolsent",N896&lt;18,"invalid")</f>
        <v>old</v>
      </c>
      <c r="P896" t="s">
        <v>18</v>
      </c>
    </row>
    <row r="897" spans="3:16" x14ac:dyDescent="0.3">
      <c r="C897">
        <v>27434</v>
      </c>
      <c r="D897" t="s">
        <v>37</v>
      </c>
      <c r="E897" t="s">
        <v>38</v>
      </c>
      <c r="F897" s="3">
        <v>70000</v>
      </c>
      <c r="G897">
        <v>4</v>
      </c>
      <c r="H897" t="s">
        <v>19</v>
      </c>
      <c r="I897" t="s">
        <v>21</v>
      </c>
      <c r="J897" t="s">
        <v>15</v>
      </c>
      <c r="K897">
        <v>1</v>
      </c>
      <c r="L897" t="s">
        <v>30</v>
      </c>
      <c r="M897" t="s">
        <v>32</v>
      </c>
      <c r="N897">
        <v>56</v>
      </c>
      <c r="O897" t="str" cm="1">
        <f t="array" ref="O897">_xlfn.IFS(N897&gt;=54,"old",N897&gt;=31,"middle age",N897&gt;=18,"adolsent",N897&lt;18,"invalid")</f>
        <v>old</v>
      </c>
      <c r="P897" t="s">
        <v>18</v>
      </c>
    </row>
    <row r="898" spans="3:16" x14ac:dyDescent="0.3">
      <c r="C898">
        <v>27441</v>
      </c>
      <c r="D898" t="s">
        <v>36</v>
      </c>
      <c r="E898" t="s">
        <v>38</v>
      </c>
      <c r="F898" s="3">
        <v>60000</v>
      </c>
      <c r="G898">
        <v>3</v>
      </c>
      <c r="H898" t="s">
        <v>27</v>
      </c>
      <c r="I898" t="s">
        <v>21</v>
      </c>
      <c r="J898" t="s">
        <v>18</v>
      </c>
      <c r="K898">
        <v>2</v>
      </c>
      <c r="L898" t="s">
        <v>22</v>
      </c>
      <c r="M898" t="s">
        <v>32</v>
      </c>
      <c r="N898">
        <v>53</v>
      </c>
      <c r="O898" t="str" cm="1">
        <f t="array" ref="O898">_xlfn.IFS(N898&gt;=54,"old",N898&gt;=31,"middle age",N898&gt;=18,"adolsent",N898&lt;18,"invalid")</f>
        <v>middle age</v>
      </c>
      <c r="P898" t="s">
        <v>18</v>
      </c>
    </row>
    <row r="899" spans="3:16" x14ac:dyDescent="0.3">
      <c r="C899">
        <v>27494</v>
      </c>
      <c r="D899" t="s">
        <v>37</v>
      </c>
      <c r="E899" t="s">
        <v>39</v>
      </c>
      <c r="F899" s="3">
        <v>40000</v>
      </c>
      <c r="G899">
        <v>2</v>
      </c>
      <c r="H899" t="s">
        <v>19</v>
      </c>
      <c r="I899" t="s">
        <v>14</v>
      </c>
      <c r="J899" t="s">
        <v>18</v>
      </c>
      <c r="K899">
        <v>2</v>
      </c>
      <c r="L899" t="s">
        <v>26</v>
      </c>
      <c r="M899" t="s">
        <v>24</v>
      </c>
      <c r="N899">
        <v>53</v>
      </c>
      <c r="O899" t="str" cm="1">
        <f t="array" ref="O899">_xlfn.IFS(N899&gt;=54,"old",N899&gt;=31,"middle age",N899&gt;=18,"adolsent",N899&lt;18,"invalid")</f>
        <v>middle age</v>
      </c>
      <c r="P899" t="s">
        <v>15</v>
      </c>
    </row>
    <row r="900" spans="3:16" x14ac:dyDescent="0.3">
      <c r="C900">
        <v>27505</v>
      </c>
      <c r="D900" t="s">
        <v>37</v>
      </c>
      <c r="E900" t="s">
        <v>39</v>
      </c>
      <c r="F900" s="3">
        <v>40000</v>
      </c>
      <c r="G900">
        <v>0</v>
      </c>
      <c r="H900" t="s">
        <v>27</v>
      </c>
      <c r="I900" t="s">
        <v>14</v>
      </c>
      <c r="J900" t="s">
        <v>15</v>
      </c>
      <c r="K900">
        <v>2</v>
      </c>
      <c r="L900" t="s">
        <v>23</v>
      </c>
      <c r="M900" t="s">
        <v>32</v>
      </c>
      <c r="N900">
        <v>30</v>
      </c>
      <c r="O900" t="str" cm="1">
        <f t="array" ref="O900">_xlfn.IFS(N900&gt;=54,"old",N900&gt;=31,"middle age",N900&gt;=18,"adolsent",N900&lt;18,"invalid")</f>
        <v>adolsent</v>
      </c>
      <c r="P900" t="s">
        <v>18</v>
      </c>
    </row>
    <row r="901" spans="3:16" x14ac:dyDescent="0.3">
      <c r="C901">
        <v>27540</v>
      </c>
      <c r="D901" t="s">
        <v>37</v>
      </c>
      <c r="E901" t="s">
        <v>39</v>
      </c>
      <c r="F901" s="3">
        <v>70000</v>
      </c>
      <c r="G901">
        <v>0</v>
      </c>
      <c r="H901" t="s">
        <v>13</v>
      </c>
      <c r="I901" t="s">
        <v>21</v>
      </c>
      <c r="J901" t="s">
        <v>18</v>
      </c>
      <c r="K901">
        <v>1</v>
      </c>
      <c r="L901" t="s">
        <v>16</v>
      </c>
      <c r="M901" t="s">
        <v>32</v>
      </c>
      <c r="N901">
        <v>37</v>
      </c>
      <c r="O901" t="str" cm="1">
        <f t="array" ref="O901">_xlfn.IFS(N901&gt;=54,"old",N901&gt;=31,"middle age",N901&gt;=18,"adolsent",N901&lt;18,"invalid")</f>
        <v>middle age</v>
      </c>
      <c r="P901" t="s">
        <v>15</v>
      </c>
    </row>
    <row r="902" spans="3:16" x14ac:dyDescent="0.3">
      <c r="C902">
        <v>27582</v>
      </c>
      <c r="D902" t="s">
        <v>37</v>
      </c>
      <c r="E902" t="s">
        <v>39</v>
      </c>
      <c r="F902" s="3">
        <v>90000</v>
      </c>
      <c r="G902">
        <v>2</v>
      </c>
      <c r="H902" t="s">
        <v>13</v>
      </c>
      <c r="I902" t="s">
        <v>21</v>
      </c>
      <c r="J902" t="s">
        <v>18</v>
      </c>
      <c r="K902">
        <v>0</v>
      </c>
      <c r="L902" t="s">
        <v>16</v>
      </c>
      <c r="M902" t="s">
        <v>24</v>
      </c>
      <c r="N902">
        <v>36</v>
      </c>
      <c r="O902" t="str" cm="1">
        <f t="array" ref="O902">_xlfn.IFS(N902&gt;=54,"old",N902&gt;=31,"middle age",N902&gt;=18,"adolsent",N902&lt;18,"invalid")</f>
        <v>middle age</v>
      </c>
      <c r="P902" t="s">
        <v>15</v>
      </c>
    </row>
    <row r="903" spans="3:16" x14ac:dyDescent="0.3">
      <c r="C903">
        <v>27585</v>
      </c>
      <c r="D903" t="s">
        <v>36</v>
      </c>
      <c r="E903" t="s">
        <v>39</v>
      </c>
      <c r="F903" s="3">
        <v>90000</v>
      </c>
      <c r="G903">
        <v>2</v>
      </c>
      <c r="H903" t="s">
        <v>13</v>
      </c>
      <c r="I903" t="s">
        <v>21</v>
      </c>
      <c r="J903" t="s">
        <v>18</v>
      </c>
      <c r="K903">
        <v>0</v>
      </c>
      <c r="L903" t="s">
        <v>16</v>
      </c>
      <c r="M903" t="s">
        <v>24</v>
      </c>
      <c r="N903">
        <v>36</v>
      </c>
      <c r="O903" t="str" cm="1">
        <f t="array" ref="O903">_xlfn.IFS(N903&gt;=54,"old",N903&gt;=31,"middle age",N903&gt;=18,"adolsent",N903&lt;18,"invalid")</f>
        <v>middle age</v>
      </c>
      <c r="P903" t="s">
        <v>15</v>
      </c>
    </row>
    <row r="904" spans="3:16" x14ac:dyDescent="0.3">
      <c r="C904">
        <v>27637</v>
      </c>
      <c r="D904" t="s">
        <v>37</v>
      </c>
      <c r="E904" t="s">
        <v>39</v>
      </c>
      <c r="F904" s="3">
        <v>100000</v>
      </c>
      <c r="G904">
        <v>1</v>
      </c>
      <c r="H904" t="s">
        <v>19</v>
      </c>
      <c r="I904" t="s">
        <v>21</v>
      </c>
      <c r="J904" t="s">
        <v>18</v>
      </c>
      <c r="K904">
        <v>3</v>
      </c>
      <c r="L904" t="s">
        <v>26</v>
      </c>
      <c r="M904" t="s">
        <v>32</v>
      </c>
      <c r="N904">
        <v>44</v>
      </c>
      <c r="O904" t="str" cm="1">
        <f t="array" ref="O904">_xlfn.IFS(N904&gt;=54,"old",N904&gt;=31,"middle age",N904&gt;=18,"adolsent",N904&lt;18,"invalid")</f>
        <v>middle age</v>
      </c>
      <c r="P904" t="s">
        <v>18</v>
      </c>
    </row>
    <row r="905" spans="3:16" x14ac:dyDescent="0.3">
      <c r="C905">
        <v>27638</v>
      </c>
      <c r="D905" t="s">
        <v>37</v>
      </c>
      <c r="E905" t="s">
        <v>38</v>
      </c>
      <c r="F905" s="3">
        <v>100000</v>
      </c>
      <c r="G905">
        <v>1</v>
      </c>
      <c r="H905" t="s">
        <v>19</v>
      </c>
      <c r="I905" t="s">
        <v>21</v>
      </c>
      <c r="J905" t="s">
        <v>18</v>
      </c>
      <c r="K905">
        <v>3</v>
      </c>
      <c r="L905" t="s">
        <v>26</v>
      </c>
      <c r="M905" t="s">
        <v>32</v>
      </c>
      <c r="N905">
        <v>44</v>
      </c>
      <c r="O905" t="str" cm="1">
        <f t="array" ref="O905">_xlfn.IFS(N905&gt;=54,"old",N905&gt;=31,"middle age",N905&gt;=18,"adolsent",N905&lt;18,"invalid")</f>
        <v>middle age</v>
      </c>
      <c r="P905" t="s">
        <v>18</v>
      </c>
    </row>
    <row r="906" spans="3:16" x14ac:dyDescent="0.3">
      <c r="C906">
        <v>27643</v>
      </c>
      <c r="D906" t="s">
        <v>37</v>
      </c>
      <c r="E906" t="s">
        <v>38</v>
      </c>
      <c r="F906" s="3">
        <v>70000</v>
      </c>
      <c r="G906">
        <v>5</v>
      </c>
      <c r="H906" t="s">
        <v>19</v>
      </c>
      <c r="I906" t="s">
        <v>21</v>
      </c>
      <c r="J906" t="s">
        <v>15</v>
      </c>
      <c r="K906">
        <v>3</v>
      </c>
      <c r="L906" t="s">
        <v>22</v>
      </c>
      <c r="M906" t="s">
        <v>32</v>
      </c>
      <c r="N906">
        <v>44</v>
      </c>
      <c r="O906" t="str" cm="1">
        <f t="array" ref="O906">_xlfn.IFS(N906&gt;=54,"old",N906&gt;=31,"middle age",N906&gt;=18,"adolsent",N906&lt;18,"invalid")</f>
        <v>middle age</v>
      </c>
      <c r="P906" t="s">
        <v>18</v>
      </c>
    </row>
    <row r="907" spans="3:16" x14ac:dyDescent="0.3">
      <c r="C907">
        <v>27650</v>
      </c>
      <c r="D907" t="s">
        <v>36</v>
      </c>
      <c r="E907" t="s">
        <v>38</v>
      </c>
      <c r="F907" s="3">
        <v>70000</v>
      </c>
      <c r="G907">
        <v>4</v>
      </c>
      <c r="H907" t="s">
        <v>27</v>
      </c>
      <c r="I907" t="s">
        <v>21</v>
      </c>
      <c r="J907" t="s">
        <v>15</v>
      </c>
      <c r="K907">
        <v>0</v>
      </c>
      <c r="L907" t="s">
        <v>23</v>
      </c>
      <c r="M907" t="s">
        <v>32</v>
      </c>
      <c r="N907">
        <v>51</v>
      </c>
      <c r="O907" t="str" cm="1">
        <f t="array" ref="O907">_xlfn.IFS(N907&gt;=54,"old",N907&gt;=31,"middle age",N907&gt;=18,"adolsent",N907&lt;18,"invalid")</f>
        <v>middle age</v>
      </c>
      <c r="P907" t="s">
        <v>18</v>
      </c>
    </row>
    <row r="908" spans="3:16" x14ac:dyDescent="0.3">
      <c r="C908">
        <v>27660</v>
      </c>
      <c r="D908" t="s">
        <v>36</v>
      </c>
      <c r="E908" t="s">
        <v>38</v>
      </c>
      <c r="F908" s="3">
        <v>80000</v>
      </c>
      <c r="G908">
        <v>4</v>
      </c>
      <c r="H908" t="s">
        <v>31</v>
      </c>
      <c r="I908" t="s">
        <v>28</v>
      </c>
      <c r="J908" t="s">
        <v>15</v>
      </c>
      <c r="K908">
        <v>2</v>
      </c>
      <c r="L908" t="s">
        <v>23</v>
      </c>
      <c r="M908" t="s">
        <v>32</v>
      </c>
      <c r="N908">
        <v>70</v>
      </c>
      <c r="O908" t="str" cm="1">
        <f t="array" ref="O908">_xlfn.IFS(N908&gt;=54,"old",N908&gt;=31,"middle age",N908&gt;=18,"adolsent",N908&lt;18,"invalid")</f>
        <v>old</v>
      </c>
      <c r="P908" t="s">
        <v>18</v>
      </c>
    </row>
    <row r="909" spans="3:16" x14ac:dyDescent="0.3">
      <c r="C909">
        <v>27673</v>
      </c>
      <c r="D909" t="s">
        <v>37</v>
      </c>
      <c r="E909" t="s">
        <v>39</v>
      </c>
      <c r="F909" s="3">
        <v>60000</v>
      </c>
      <c r="G909">
        <v>3</v>
      </c>
      <c r="H909" t="s">
        <v>31</v>
      </c>
      <c r="I909" t="s">
        <v>28</v>
      </c>
      <c r="J909" t="s">
        <v>15</v>
      </c>
      <c r="K909">
        <v>2</v>
      </c>
      <c r="L909" t="s">
        <v>23</v>
      </c>
      <c r="M909" t="s">
        <v>32</v>
      </c>
      <c r="N909">
        <v>53</v>
      </c>
      <c r="O909" t="str" cm="1">
        <f t="array" ref="O909">_xlfn.IFS(N909&gt;=54,"old",N909&gt;=31,"middle age",N909&gt;=18,"adolsent",N909&lt;18,"invalid")</f>
        <v>middle age</v>
      </c>
      <c r="P909" t="s">
        <v>15</v>
      </c>
    </row>
    <row r="910" spans="3:16" x14ac:dyDescent="0.3">
      <c r="C910">
        <v>27696</v>
      </c>
      <c r="D910" t="s">
        <v>36</v>
      </c>
      <c r="E910" t="s">
        <v>38</v>
      </c>
      <c r="F910" s="3">
        <v>60000</v>
      </c>
      <c r="G910">
        <v>1</v>
      </c>
      <c r="H910" t="s">
        <v>13</v>
      </c>
      <c r="I910" t="s">
        <v>21</v>
      </c>
      <c r="J910" t="s">
        <v>15</v>
      </c>
      <c r="K910">
        <v>1</v>
      </c>
      <c r="L910" t="s">
        <v>23</v>
      </c>
      <c r="M910" t="s">
        <v>24</v>
      </c>
      <c r="N910">
        <v>43</v>
      </c>
      <c r="O910" t="str" cm="1">
        <f t="array" ref="O910">_xlfn.IFS(N910&gt;=54,"old",N910&gt;=31,"middle age",N910&gt;=18,"adolsent",N910&lt;18,"invalid")</f>
        <v>middle age</v>
      </c>
      <c r="P910" t="s">
        <v>15</v>
      </c>
    </row>
    <row r="911" spans="3:16" x14ac:dyDescent="0.3">
      <c r="C911">
        <v>27731</v>
      </c>
      <c r="D911" t="s">
        <v>36</v>
      </c>
      <c r="E911" t="s">
        <v>38</v>
      </c>
      <c r="F911" s="3">
        <v>40000</v>
      </c>
      <c r="G911">
        <v>0</v>
      </c>
      <c r="H911" t="s">
        <v>27</v>
      </c>
      <c r="I911" t="s">
        <v>14</v>
      </c>
      <c r="J911" t="s">
        <v>15</v>
      </c>
      <c r="K911">
        <v>2</v>
      </c>
      <c r="L911" t="s">
        <v>23</v>
      </c>
      <c r="M911" t="s">
        <v>32</v>
      </c>
      <c r="N911">
        <v>27</v>
      </c>
      <c r="O911" t="str" cm="1">
        <f t="array" ref="O911">_xlfn.IFS(N911&gt;=54,"old",N911&gt;=31,"middle age",N911&gt;=18,"adolsent",N911&lt;18,"invalid")</f>
        <v>adolsent</v>
      </c>
      <c r="P911" t="s">
        <v>18</v>
      </c>
    </row>
    <row r="912" spans="3:16" x14ac:dyDescent="0.3">
      <c r="C912">
        <v>27740</v>
      </c>
      <c r="D912" t="s">
        <v>36</v>
      </c>
      <c r="E912" t="s">
        <v>39</v>
      </c>
      <c r="F912" s="3">
        <v>40000</v>
      </c>
      <c r="G912">
        <v>0</v>
      </c>
      <c r="H912" t="s">
        <v>27</v>
      </c>
      <c r="I912" t="s">
        <v>14</v>
      </c>
      <c r="J912" t="s">
        <v>15</v>
      </c>
      <c r="K912">
        <v>2</v>
      </c>
      <c r="L912" t="s">
        <v>23</v>
      </c>
      <c r="M912" t="s">
        <v>32</v>
      </c>
      <c r="N912">
        <v>27</v>
      </c>
      <c r="O912" t="str" cm="1">
        <f t="array" ref="O912">_xlfn.IFS(N912&gt;=54,"old",N912&gt;=31,"middle age",N912&gt;=18,"adolsent",N912&lt;18,"invalid")</f>
        <v>adolsent</v>
      </c>
      <c r="P912" t="s">
        <v>18</v>
      </c>
    </row>
    <row r="913" spans="3:16" x14ac:dyDescent="0.3">
      <c r="C913">
        <v>27745</v>
      </c>
      <c r="D913" t="s">
        <v>37</v>
      </c>
      <c r="E913" t="s">
        <v>38</v>
      </c>
      <c r="F913" s="3">
        <v>40000</v>
      </c>
      <c r="G913">
        <v>2</v>
      </c>
      <c r="H913" t="s">
        <v>13</v>
      </c>
      <c r="I913" t="s">
        <v>28</v>
      </c>
      <c r="J913" t="s">
        <v>15</v>
      </c>
      <c r="K913">
        <v>2</v>
      </c>
      <c r="L913" t="s">
        <v>23</v>
      </c>
      <c r="M913" t="s">
        <v>24</v>
      </c>
      <c r="N913">
        <v>63</v>
      </c>
      <c r="O913" t="str" cm="1">
        <f t="array" ref="O913">_xlfn.IFS(N913&gt;=54,"old",N913&gt;=31,"middle age",N913&gt;=18,"adolsent",N913&lt;18,"invalid")</f>
        <v>old</v>
      </c>
      <c r="P913" t="s">
        <v>15</v>
      </c>
    </row>
    <row r="914" spans="3:16" x14ac:dyDescent="0.3">
      <c r="C914">
        <v>27753</v>
      </c>
      <c r="D914" t="s">
        <v>36</v>
      </c>
      <c r="E914" t="s">
        <v>38</v>
      </c>
      <c r="F914" s="3">
        <v>40000</v>
      </c>
      <c r="G914">
        <v>0</v>
      </c>
      <c r="H914" t="s">
        <v>27</v>
      </c>
      <c r="I914" t="s">
        <v>14</v>
      </c>
      <c r="J914" t="s">
        <v>18</v>
      </c>
      <c r="K914">
        <v>2</v>
      </c>
      <c r="L914" t="s">
        <v>26</v>
      </c>
      <c r="M914" t="s">
        <v>32</v>
      </c>
      <c r="N914">
        <v>30</v>
      </c>
      <c r="O914" t="str" cm="1">
        <f t="array" ref="O914">_xlfn.IFS(N914&gt;=54,"old",N914&gt;=31,"middle age",N914&gt;=18,"adolsent",N914&lt;18,"invalid")</f>
        <v>adolsent</v>
      </c>
      <c r="P914" t="s">
        <v>18</v>
      </c>
    </row>
    <row r="915" spans="3:16" x14ac:dyDescent="0.3">
      <c r="C915">
        <v>27756</v>
      </c>
      <c r="D915" t="s">
        <v>37</v>
      </c>
      <c r="E915" t="s">
        <v>39</v>
      </c>
      <c r="F915" s="3">
        <v>50000</v>
      </c>
      <c r="G915">
        <v>3</v>
      </c>
      <c r="H915" t="s">
        <v>13</v>
      </c>
      <c r="I915" t="s">
        <v>14</v>
      </c>
      <c r="J915" t="s">
        <v>18</v>
      </c>
      <c r="K915">
        <v>1</v>
      </c>
      <c r="L915" t="s">
        <v>16</v>
      </c>
      <c r="M915" t="s">
        <v>32</v>
      </c>
      <c r="N915">
        <v>40</v>
      </c>
      <c r="O915" t="str" cm="1">
        <f t="array" ref="O915">_xlfn.IFS(N915&gt;=54,"old",N915&gt;=31,"middle age",N915&gt;=18,"adolsent",N915&lt;18,"invalid")</f>
        <v>middle age</v>
      </c>
      <c r="P915" t="s">
        <v>18</v>
      </c>
    </row>
    <row r="916" spans="3:16" x14ac:dyDescent="0.3">
      <c r="C916">
        <v>27760</v>
      </c>
      <c r="D916" t="s">
        <v>37</v>
      </c>
      <c r="E916" t="s">
        <v>39</v>
      </c>
      <c r="F916" s="3">
        <v>40000</v>
      </c>
      <c r="G916">
        <v>0</v>
      </c>
      <c r="H916" t="s">
        <v>31</v>
      </c>
      <c r="I916" t="s">
        <v>20</v>
      </c>
      <c r="J916" t="s">
        <v>18</v>
      </c>
      <c r="K916">
        <v>0</v>
      </c>
      <c r="L916" t="s">
        <v>16</v>
      </c>
      <c r="M916" t="s">
        <v>17</v>
      </c>
      <c r="N916">
        <v>37</v>
      </c>
      <c r="O916" t="str" cm="1">
        <f t="array" ref="O916">_xlfn.IFS(N916&gt;=54,"old",N916&gt;=31,"middle age",N916&gt;=18,"adolsent",N916&lt;18,"invalid")</f>
        <v>middle age</v>
      </c>
      <c r="P916" t="s">
        <v>15</v>
      </c>
    </row>
    <row r="917" spans="3:16" x14ac:dyDescent="0.3">
      <c r="C917">
        <v>27771</v>
      </c>
      <c r="D917" t="s">
        <v>37</v>
      </c>
      <c r="E917" t="s">
        <v>38</v>
      </c>
      <c r="F917" s="3">
        <v>30000</v>
      </c>
      <c r="G917">
        <v>1</v>
      </c>
      <c r="H917" t="s">
        <v>13</v>
      </c>
      <c r="I917" t="s">
        <v>20</v>
      </c>
      <c r="J917" t="s">
        <v>15</v>
      </c>
      <c r="K917">
        <v>1</v>
      </c>
      <c r="L917" t="s">
        <v>26</v>
      </c>
      <c r="M917" t="s">
        <v>17</v>
      </c>
      <c r="N917">
        <v>39</v>
      </c>
      <c r="O917" t="str" cm="1">
        <f t="array" ref="O917">_xlfn.IFS(N917&gt;=54,"old",N917&gt;=31,"middle age",N917&gt;=18,"adolsent",N917&lt;18,"invalid")</f>
        <v>middle age</v>
      </c>
      <c r="P917" t="s">
        <v>15</v>
      </c>
    </row>
    <row r="918" spans="3:16" x14ac:dyDescent="0.3">
      <c r="C918">
        <v>27775</v>
      </c>
      <c r="D918" t="s">
        <v>37</v>
      </c>
      <c r="E918" t="s">
        <v>39</v>
      </c>
      <c r="F918" s="3">
        <v>40000</v>
      </c>
      <c r="G918">
        <v>0</v>
      </c>
      <c r="H918" t="s">
        <v>13</v>
      </c>
      <c r="I918" t="s">
        <v>20</v>
      </c>
      <c r="J918" t="s">
        <v>18</v>
      </c>
      <c r="K918">
        <v>0</v>
      </c>
      <c r="L918" t="s">
        <v>16</v>
      </c>
      <c r="M918" t="s">
        <v>17</v>
      </c>
      <c r="N918">
        <v>38</v>
      </c>
      <c r="O918" t="str" cm="1">
        <f t="array" ref="O918">_xlfn.IFS(N918&gt;=54,"old",N918&gt;=31,"middle age",N918&gt;=18,"adolsent",N918&lt;18,"invalid")</f>
        <v>middle age</v>
      </c>
      <c r="P918" t="s">
        <v>15</v>
      </c>
    </row>
    <row r="919" spans="3:16" x14ac:dyDescent="0.3">
      <c r="C919">
        <v>27803</v>
      </c>
      <c r="D919" t="s">
        <v>37</v>
      </c>
      <c r="E919" t="s">
        <v>39</v>
      </c>
      <c r="F919" s="3">
        <v>30000</v>
      </c>
      <c r="G919">
        <v>2</v>
      </c>
      <c r="H919" t="s">
        <v>19</v>
      </c>
      <c r="I919" t="s">
        <v>20</v>
      </c>
      <c r="J919" t="s">
        <v>18</v>
      </c>
      <c r="K919">
        <v>0</v>
      </c>
      <c r="L919" t="s">
        <v>16</v>
      </c>
      <c r="M919" t="s">
        <v>17</v>
      </c>
      <c r="N919">
        <v>43</v>
      </c>
      <c r="O919" t="str" cm="1">
        <f t="array" ref="O919">_xlfn.IFS(N919&gt;=54,"old",N919&gt;=31,"middle age",N919&gt;=18,"adolsent",N919&lt;18,"invalid")</f>
        <v>middle age</v>
      </c>
      <c r="P919" t="s">
        <v>18</v>
      </c>
    </row>
    <row r="920" spans="3:16" x14ac:dyDescent="0.3">
      <c r="C920">
        <v>27814</v>
      </c>
      <c r="D920" t="s">
        <v>37</v>
      </c>
      <c r="E920" t="s">
        <v>39</v>
      </c>
      <c r="F920" s="3">
        <v>30000</v>
      </c>
      <c r="G920">
        <v>3</v>
      </c>
      <c r="H920" t="s">
        <v>19</v>
      </c>
      <c r="I920" t="s">
        <v>20</v>
      </c>
      <c r="J920" t="s">
        <v>18</v>
      </c>
      <c r="K920">
        <v>1</v>
      </c>
      <c r="L920" t="s">
        <v>16</v>
      </c>
      <c r="M920" t="s">
        <v>17</v>
      </c>
      <c r="N920">
        <v>26</v>
      </c>
      <c r="O920" t="str" cm="1">
        <f t="array" ref="O920">_xlfn.IFS(N920&gt;=54,"old",N920&gt;=31,"middle age",N920&gt;=18,"adolsent",N920&lt;18,"invalid")</f>
        <v>adolsent</v>
      </c>
      <c r="P920" t="s">
        <v>18</v>
      </c>
    </row>
    <row r="921" spans="3:16" x14ac:dyDescent="0.3">
      <c r="C921">
        <v>27824</v>
      </c>
      <c r="D921" t="s">
        <v>37</v>
      </c>
      <c r="E921" t="s">
        <v>39</v>
      </c>
      <c r="F921" s="3">
        <v>30000</v>
      </c>
      <c r="G921">
        <v>3</v>
      </c>
      <c r="H921" t="s">
        <v>19</v>
      </c>
      <c r="I921" t="s">
        <v>20</v>
      </c>
      <c r="J921" t="s">
        <v>15</v>
      </c>
      <c r="K921">
        <v>2</v>
      </c>
      <c r="L921" t="s">
        <v>16</v>
      </c>
      <c r="M921" t="s">
        <v>17</v>
      </c>
      <c r="N921">
        <v>28</v>
      </c>
      <c r="O921" t="str" cm="1">
        <f t="array" ref="O921">_xlfn.IFS(N921&gt;=54,"old",N921&gt;=31,"middle age",N921&gt;=18,"adolsent",N921&lt;18,"invalid")</f>
        <v>adolsent</v>
      </c>
      <c r="P921" t="s">
        <v>15</v>
      </c>
    </row>
    <row r="922" spans="3:16" x14ac:dyDescent="0.3">
      <c r="C922">
        <v>27832</v>
      </c>
      <c r="D922" t="s">
        <v>37</v>
      </c>
      <c r="E922" t="s">
        <v>39</v>
      </c>
      <c r="F922" s="3">
        <v>30000</v>
      </c>
      <c r="G922">
        <v>0</v>
      </c>
      <c r="H922" t="s">
        <v>19</v>
      </c>
      <c r="I922" t="s">
        <v>20</v>
      </c>
      <c r="J922" t="s">
        <v>18</v>
      </c>
      <c r="K922">
        <v>1</v>
      </c>
      <c r="L922" t="s">
        <v>22</v>
      </c>
      <c r="M922" t="s">
        <v>17</v>
      </c>
      <c r="N922">
        <v>30</v>
      </c>
      <c r="O922" t="str" cm="1">
        <f t="array" ref="O922">_xlfn.IFS(N922&gt;=54,"old",N922&gt;=31,"middle age",N922&gt;=18,"adolsent",N922&lt;18,"invalid")</f>
        <v>adolsent</v>
      </c>
      <c r="P922" t="s">
        <v>18</v>
      </c>
    </row>
    <row r="923" spans="3:16" x14ac:dyDescent="0.3">
      <c r="C923">
        <v>27835</v>
      </c>
      <c r="D923" t="s">
        <v>36</v>
      </c>
      <c r="E923" t="s">
        <v>38</v>
      </c>
      <c r="F923" s="3">
        <v>20000</v>
      </c>
      <c r="G923">
        <v>0</v>
      </c>
      <c r="H923" t="s">
        <v>29</v>
      </c>
      <c r="I923" t="s">
        <v>25</v>
      </c>
      <c r="J923" t="s">
        <v>15</v>
      </c>
      <c r="K923">
        <v>2</v>
      </c>
      <c r="L923" t="s">
        <v>16</v>
      </c>
      <c r="M923" t="s">
        <v>17</v>
      </c>
      <c r="N923">
        <v>32</v>
      </c>
      <c r="O923" t="str" cm="1">
        <f t="array" ref="O923">_xlfn.IFS(N923&gt;=54,"old",N923&gt;=31,"middle age",N923&gt;=18,"adolsent",N923&lt;18,"invalid")</f>
        <v>middle age</v>
      </c>
      <c r="P923" t="s">
        <v>18</v>
      </c>
    </row>
    <row r="924" spans="3:16" x14ac:dyDescent="0.3">
      <c r="C924">
        <v>27878</v>
      </c>
      <c r="D924" t="s">
        <v>37</v>
      </c>
      <c r="E924" t="s">
        <v>38</v>
      </c>
      <c r="F924" s="3">
        <v>20000</v>
      </c>
      <c r="G924">
        <v>0</v>
      </c>
      <c r="H924" t="s">
        <v>19</v>
      </c>
      <c r="I924" t="s">
        <v>25</v>
      </c>
      <c r="J924" t="s">
        <v>18</v>
      </c>
      <c r="K924">
        <v>0</v>
      </c>
      <c r="L924" t="s">
        <v>16</v>
      </c>
      <c r="M924" t="s">
        <v>24</v>
      </c>
      <c r="N924">
        <v>28</v>
      </c>
      <c r="O924" t="str" cm="1">
        <f t="array" ref="O924">_xlfn.IFS(N924&gt;=54,"old",N924&gt;=31,"middle age",N924&gt;=18,"adolsent",N924&lt;18,"invalid")</f>
        <v>adolsent</v>
      </c>
      <c r="P924" t="s">
        <v>15</v>
      </c>
    </row>
    <row r="925" spans="3:16" x14ac:dyDescent="0.3">
      <c r="C925">
        <v>27941</v>
      </c>
      <c r="D925" t="s">
        <v>36</v>
      </c>
      <c r="E925" t="s">
        <v>39</v>
      </c>
      <c r="F925" s="3">
        <v>80000</v>
      </c>
      <c r="G925">
        <v>4</v>
      </c>
      <c r="H925" t="s">
        <v>19</v>
      </c>
      <c r="I925" t="s">
        <v>21</v>
      </c>
      <c r="J925" t="s">
        <v>15</v>
      </c>
      <c r="K925">
        <v>2</v>
      </c>
      <c r="L925" t="s">
        <v>22</v>
      </c>
      <c r="M925" t="s">
        <v>17</v>
      </c>
      <c r="N925">
        <v>53</v>
      </c>
      <c r="O925" t="str" cm="1">
        <f t="array" ref="O925">_xlfn.IFS(N925&gt;=54,"old",N925&gt;=31,"middle age",N925&gt;=18,"adolsent",N925&lt;18,"invalid")</f>
        <v>middle age</v>
      </c>
      <c r="P925" t="s">
        <v>18</v>
      </c>
    </row>
    <row r="926" spans="3:16" x14ac:dyDescent="0.3">
      <c r="C926">
        <v>27951</v>
      </c>
      <c r="D926" t="s">
        <v>37</v>
      </c>
      <c r="E926" t="s">
        <v>38</v>
      </c>
      <c r="F926" s="3">
        <v>80000</v>
      </c>
      <c r="G926">
        <v>4</v>
      </c>
      <c r="H926" t="s">
        <v>19</v>
      </c>
      <c r="I926" t="s">
        <v>21</v>
      </c>
      <c r="J926" t="s">
        <v>18</v>
      </c>
      <c r="K926">
        <v>2</v>
      </c>
      <c r="L926" t="s">
        <v>22</v>
      </c>
      <c r="M926" t="s">
        <v>17</v>
      </c>
      <c r="N926">
        <v>54</v>
      </c>
      <c r="O926" t="str" cm="1">
        <f t="array" ref="O926">_xlfn.IFS(N926&gt;=54,"old",N926&gt;=31,"middle age",N926&gt;=18,"adolsent",N926&lt;18,"invalid")</f>
        <v>old</v>
      </c>
      <c r="P926" t="s">
        <v>15</v>
      </c>
    </row>
    <row r="927" spans="3:16" x14ac:dyDescent="0.3">
      <c r="C927">
        <v>27969</v>
      </c>
      <c r="D927" t="s">
        <v>36</v>
      </c>
      <c r="E927" t="s">
        <v>38</v>
      </c>
      <c r="F927" s="3">
        <v>80000</v>
      </c>
      <c r="G927">
        <v>0</v>
      </c>
      <c r="H927" t="s">
        <v>13</v>
      </c>
      <c r="I927" t="s">
        <v>21</v>
      </c>
      <c r="J927" t="s">
        <v>15</v>
      </c>
      <c r="K927">
        <v>2</v>
      </c>
      <c r="L927" t="s">
        <v>30</v>
      </c>
      <c r="M927" t="s">
        <v>24</v>
      </c>
      <c r="N927">
        <v>29</v>
      </c>
      <c r="O927" t="str" cm="1">
        <f t="array" ref="O927">_xlfn.IFS(N927&gt;=54,"old",N927&gt;=31,"middle age",N927&gt;=18,"adolsent",N927&lt;18,"invalid")</f>
        <v>adolsent</v>
      </c>
      <c r="P927" t="s">
        <v>15</v>
      </c>
    </row>
    <row r="928" spans="3:16" x14ac:dyDescent="0.3">
      <c r="C928">
        <v>27974</v>
      </c>
      <c r="D928" t="s">
        <v>37</v>
      </c>
      <c r="E928" t="s">
        <v>38</v>
      </c>
      <c r="F928" s="3">
        <v>160000</v>
      </c>
      <c r="G928">
        <v>2</v>
      </c>
      <c r="H928" t="s">
        <v>27</v>
      </c>
      <c r="I928" t="s">
        <v>28</v>
      </c>
      <c r="J928" t="s">
        <v>15</v>
      </c>
      <c r="K928">
        <v>4</v>
      </c>
      <c r="L928" t="s">
        <v>16</v>
      </c>
      <c r="M928" t="s">
        <v>24</v>
      </c>
      <c r="N928">
        <v>33</v>
      </c>
      <c r="O928" t="str" cm="1">
        <f t="array" ref="O928">_xlfn.IFS(N928&gt;=54,"old",N928&gt;=31,"middle age",N928&gt;=18,"adolsent",N928&lt;18,"invalid")</f>
        <v>middle age</v>
      </c>
      <c r="P928" t="s">
        <v>15</v>
      </c>
    </row>
    <row r="929" spans="3:16" x14ac:dyDescent="0.3">
      <c r="C929">
        <v>27994</v>
      </c>
      <c r="D929" t="s">
        <v>36</v>
      </c>
      <c r="E929" t="s">
        <v>39</v>
      </c>
      <c r="F929" s="3">
        <v>40000</v>
      </c>
      <c r="G929">
        <v>4</v>
      </c>
      <c r="H929" t="s">
        <v>27</v>
      </c>
      <c r="I929" t="s">
        <v>21</v>
      </c>
      <c r="J929" t="s">
        <v>15</v>
      </c>
      <c r="K929">
        <v>2</v>
      </c>
      <c r="L929" t="s">
        <v>23</v>
      </c>
      <c r="M929" t="s">
        <v>32</v>
      </c>
      <c r="N929">
        <v>69</v>
      </c>
      <c r="O929" t="str" cm="1">
        <f t="array" ref="O929">_xlfn.IFS(N929&gt;=54,"old",N929&gt;=31,"middle age",N929&gt;=18,"adolsent",N929&lt;18,"invalid")</f>
        <v>old</v>
      </c>
      <c r="P929" t="s">
        <v>18</v>
      </c>
    </row>
    <row r="930" spans="3:16" x14ac:dyDescent="0.3">
      <c r="C930">
        <v>28004</v>
      </c>
      <c r="D930" t="s">
        <v>36</v>
      </c>
      <c r="E930" t="s">
        <v>39</v>
      </c>
      <c r="F930" s="3">
        <v>60000</v>
      </c>
      <c r="G930">
        <v>3</v>
      </c>
      <c r="H930" t="s">
        <v>13</v>
      </c>
      <c r="I930" t="s">
        <v>28</v>
      </c>
      <c r="J930" t="s">
        <v>15</v>
      </c>
      <c r="K930">
        <v>2</v>
      </c>
      <c r="L930" t="s">
        <v>30</v>
      </c>
      <c r="M930" t="s">
        <v>32</v>
      </c>
      <c r="N930">
        <v>66</v>
      </c>
      <c r="O930" t="str" cm="1">
        <f t="array" ref="O930">_xlfn.IFS(N930&gt;=54,"old",N930&gt;=31,"middle age",N930&gt;=18,"adolsent",N930&lt;18,"invalid")</f>
        <v>old</v>
      </c>
      <c r="P930" t="s">
        <v>18</v>
      </c>
    </row>
    <row r="931" spans="3:16" x14ac:dyDescent="0.3">
      <c r="C931">
        <v>28026</v>
      </c>
      <c r="D931" t="s">
        <v>36</v>
      </c>
      <c r="E931" t="s">
        <v>39</v>
      </c>
      <c r="F931" s="3">
        <v>40000</v>
      </c>
      <c r="G931">
        <v>2</v>
      </c>
      <c r="H931" t="s">
        <v>27</v>
      </c>
      <c r="I931" t="s">
        <v>21</v>
      </c>
      <c r="J931" t="s">
        <v>18</v>
      </c>
      <c r="K931">
        <v>2</v>
      </c>
      <c r="L931" t="s">
        <v>22</v>
      </c>
      <c r="M931" t="s">
        <v>32</v>
      </c>
      <c r="N931">
        <v>59</v>
      </c>
      <c r="O931" t="str" cm="1">
        <f t="array" ref="O931">_xlfn.IFS(N931&gt;=54,"old",N931&gt;=31,"middle age",N931&gt;=18,"adolsent",N931&lt;18,"invalid")</f>
        <v>old</v>
      </c>
      <c r="P931" t="s">
        <v>18</v>
      </c>
    </row>
    <row r="932" spans="3:16" x14ac:dyDescent="0.3">
      <c r="C932">
        <v>28031</v>
      </c>
      <c r="D932" t="s">
        <v>37</v>
      </c>
      <c r="E932" t="s">
        <v>39</v>
      </c>
      <c r="F932" s="3">
        <v>70000</v>
      </c>
      <c r="G932">
        <v>2</v>
      </c>
      <c r="H932" t="s">
        <v>13</v>
      </c>
      <c r="I932" t="s">
        <v>28</v>
      </c>
      <c r="J932" t="s">
        <v>18</v>
      </c>
      <c r="K932">
        <v>1</v>
      </c>
      <c r="L932" t="s">
        <v>22</v>
      </c>
      <c r="M932" t="s">
        <v>32</v>
      </c>
      <c r="N932">
        <v>59</v>
      </c>
      <c r="O932" t="str" cm="1">
        <f t="array" ref="O932">_xlfn.IFS(N932&gt;=54,"old",N932&gt;=31,"middle age",N932&gt;=18,"adolsent",N932&lt;18,"invalid")</f>
        <v>old</v>
      </c>
      <c r="P932" t="s">
        <v>15</v>
      </c>
    </row>
    <row r="933" spans="3:16" x14ac:dyDescent="0.3">
      <c r="C933">
        <v>28043</v>
      </c>
      <c r="D933" t="s">
        <v>36</v>
      </c>
      <c r="E933" t="s">
        <v>39</v>
      </c>
      <c r="F933" s="3">
        <v>60000</v>
      </c>
      <c r="G933">
        <v>2</v>
      </c>
      <c r="H933" t="s">
        <v>13</v>
      </c>
      <c r="I933" t="s">
        <v>28</v>
      </c>
      <c r="J933" t="s">
        <v>15</v>
      </c>
      <c r="K933">
        <v>0</v>
      </c>
      <c r="L933" t="s">
        <v>30</v>
      </c>
      <c r="M933" t="s">
        <v>32</v>
      </c>
      <c r="N933">
        <v>56</v>
      </c>
      <c r="O933" t="str" cm="1">
        <f t="array" ref="O933">_xlfn.IFS(N933&gt;=54,"old",N933&gt;=31,"middle age",N933&gt;=18,"adolsent",N933&lt;18,"invalid")</f>
        <v>old</v>
      </c>
      <c r="P933" t="s">
        <v>18</v>
      </c>
    </row>
    <row r="934" spans="3:16" x14ac:dyDescent="0.3">
      <c r="C934">
        <v>28052</v>
      </c>
      <c r="D934" t="s">
        <v>36</v>
      </c>
      <c r="E934" t="s">
        <v>38</v>
      </c>
      <c r="F934" s="3">
        <v>60000</v>
      </c>
      <c r="G934">
        <v>2</v>
      </c>
      <c r="H934" t="s">
        <v>27</v>
      </c>
      <c r="I934" t="s">
        <v>21</v>
      </c>
      <c r="J934" t="s">
        <v>15</v>
      </c>
      <c r="K934">
        <v>2</v>
      </c>
      <c r="L934" t="s">
        <v>30</v>
      </c>
      <c r="M934" t="s">
        <v>32</v>
      </c>
      <c r="N934">
        <v>55</v>
      </c>
      <c r="O934" t="str" cm="1">
        <f t="array" ref="O934">_xlfn.IFS(N934&gt;=54,"old",N934&gt;=31,"middle age",N934&gt;=18,"adolsent",N934&lt;18,"invalid")</f>
        <v>old</v>
      </c>
      <c r="P934" t="s">
        <v>18</v>
      </c>
    </row>
    <row r="935" spans="3:16" x14ac:dyDescent="0.3">
      <c r="C935">
        <v>28056</v>
      </c>
      <c r="D935" t="s">
        <v>36</v>
      </c>
      <c r="E935" t="s">
        <v>38</v>
      </c>
      <c r="F935" s="3">
        <v>70000</v>
      </c>
      <c r="G935">
        <v>2</v>
      </c>
      <c r="H935" t="s">
        <v>29</v>
      </c>
      <c r="I935" t="s">
        <v>14</v>
      </c>
      <c r="J935" t="s">
        <v>15</v>
      </c>
      <c r="K935">
        <v>2</v>
      </c>
      <c r="L935" t="s">
        <v>30</v>
      </c>
      <c r="M935" t="s">
        <v>32</v>
      </c>
      <c r="N935">
        <v>53</v>
      </c>
      <c r="O935" t="str" cm="1">
        <f t="array" ref="O935">_xlfn.IFS(N935&gt;=54,"old",N935&gt;=31,"middle age",N935&gt;=18,"adolsent",N935&lt;18,"invalid")</f>
        <v>middle age</v>
      </c>
      <c r="P935" t="s">
        <v>18</v>
      </c>
    </row>
    <row r="936" spans="3:16" x14ac:dyDescent="0.3">
      <c r="C936">
        <v>28066</v>
      </c>
      <c r="D936" t="s">
        <v>36</v>
      </c>
      <c r="E936" t="s">
        <v>38</v>
      </c>
      <c r="F936" s="3">
        <v>80000</v>
      </c>
      <c r="G936">
        <v>2</v>
      </c>
      <c r="H936" t="s">
        <v>31</v>
      </c>
      <c r="I936" t="s">
        <v>21</v>
      </c>
      <c r="J936" t="s">
        <v>15</v>
      </c>
      <c r="K936">
        <v>0</v>
      </c>
      <c r="L936" t="s">
        <v>16</v>
      </c>
      <c r="M936" t="s">
        <v>32</v>
      </c>
      <c r="N936">
        <v>37</v>
      </c>
      <c r="O936" t="str" cm="1">
        <f t="array" ref="O936">_xlfn.IFS(N936&gt;=54,"old",N936&gt;=31,"middle age",N936&gt;=18,"adolsent",N936&lt;18,"invalid")</f>
        <v>middle age</v>
      </c>
      <c r="P936" t="s">
        <v>15</v>
      </c>
    </row>
    <row r="937" spans="3:16" x14ac:dyDescent="0.3">
      <c r="C937">
        <v>28068</v>
      </c>
      <c r="D937" t="s">
        <v>37</v>
      </c>
      <c r="E937" t="s">
        <v>39</v>
      </c>
      <c r="F937" s="3">
        <v>80000</v>
      </c>
      <c r="G937">
        <v>3</v>
      </c>
      <c r="H937" t="s">
        <v>31</v>
      </c>
      <c r="I937" t="s">
        <v>21</v>
      </c>
      <c r="J937" t="s">
        <v>18</v>
      </c>
      <c r="K937">
        <v>0</v>
      </c>
      <c r="L937" t="s">
        <v>16</v>
      </c>
      <c r="M937" t="s">
        <v>32</v>
      </c>
      <c r="N937">
        <v>36</v>
      </c>
      <c r="O937" t="str" cm="1">
        <f t="array" ref="O937">_xlfn.IFS(N937&gt;=54,"old",N937&gt;=31,"middle age",N937&gt;=18,"adolsent",N937&lt;18,"invalid")</f>
        <v>middle age</v>
      </c>
      <c r="P937" t="s">
        <v>15</v>
      </c>
    </row>
    <row r="938" spans="3:16" x14ac:dyDescent="0.3">
      <c r="C938">
        <v>28087</v>
      </c>
      <c r="D938" t="s">
        <v>37</v>
      </c>
      <c r="E938" t="s">
        <v>39</v>
      </c>
      <c r="F938" s="3">
        <v>40000</v>
      </c>
      <c r="G938">
        <v>0</v>
      </c>
      <c r="H938" t="s">
        <v>19</v>
      </c>
      <c r="I938" t="s">
        <v>14</v>
      </c>
      <c r="J938" t="s">
        <v>18</v>
      </c>
      <c r="K938">
        <v>1</v>
      </c>
      <c r="L938" t="s">
        <v>26</v>
      </c>
      <c r="M938" t="s">
        <v>32</v>
      </c>
      <c r="N938">
        <v>27</v>
      </c>
      <c r="O938" t="str" cm="1">
        <f t="array" ref="O938">_xlfn.IFS(N938&gt;=54,"old",N938&gt;=31,"middle age",N938&gt;=18,"adolsent",N938&lt;18,"invalid")</f>
        <v>adolsent</v>
      </c>
      <c r="P938" t="s">
        <v>18</v>
      </c>
    </row>
    <row r="939" spans="3:16" x14ac:dyDescent="0.3">
      <c r="C939">
        <v>28090</v>
      </c>
      <c r="D939" t="s">
        <v>36</v>
      </c>
      <c r="E939" t="s">
        <v>38</v>
      </c>
      <c r="F939" s="3">
        <v>40000</v>
      </c>
      <c r="G939">
        <v>0</v>
      </c>
      <c r="H939" t="s">
        <v>19</v>
      </c>
      <c r="I939" t="s">
        <v>14</v>
      </c>
      <c r="J939" t="s">
        <v>15</v>
      </c>
      <c r="K939">
        <v>1</v>
      </c>
      <c r="L939" t="s">
        <v>23</v>
      </c>
      <c r="M939" t="s">
        <v>32</v>
      </c>
      <c r="N939">
        <v>27</v>
      </c>
      <c r="O939" t="str" cm="1">
        <f t="array" ref="O939">_xlfn.IFS(N939&gt;=54,"old",N939&gt;=31,"middle age",N939&gt;=18,"adolsent",N939&lt;18,"invalid")</f>
        <v>adolsent</v>
      </c>
      <c r="P939" t="s">
        <v>18</v>
      </c>
    </row>
    <row r="940" spans="3:16" x14ac:dyDescent="0.3">
      <c r="C940">
        <v>28102</v>
      </c>
      <c r="D940" t="s">
        <v>36</v>
      </c>
      <c r="E940" t="s">
        <v>38</v>
      </c>
      <c r="F940" s="3">
        <v>20000</v>
      </c>
      <c r="G940">
        <v>4</v>
      </c>
      <c r="H940" t="s">
        <v>27</v>
      </c>
      <c r="I940" t="s">
        <v>14</v>
      </c>
      <c r="J940" t="s">
        <v>15</v>
      </c>
      <c r="K940">
        <v>2</v>
      </c>
      <c r="L940" t="s">
        <v>23</v>
      </c>
      <c r="M940" t="s">
        <v>24</v>
      </c>
      <c r="N940">
        <v>58</v>
      </c>
      <c r="O940" t="str" cm="1">
        <f t="array" ref="O940">_xlfn.IFS(N940&gt;=54,"old",N940&gt;=31,"middle age",N940&gt;=18,"adolsent",N940&lt;18,"invalid")</f>
        <v>old</v>
      </c>
      <c r="P940" t="s">
        <v>15</v>
      </c>
    </row>
    <row r="941" spans="3:16" x14ac:dyDescent="0.3">
      <c r="C941">
        <v>28192</v>
      </c>
      <c r="D941" t="s">
        <v>36</v>
      </c>
      <c r="E941" t="s">
        <v>39</v>
      </c>
      <c r="F941" s="3">
        <v>70000</v>
      </c>
      <c r="G941">
        <v>5</v>
      </c>
      <c r="H941" t="s">
        <v>31</v>
      </c>
      <c r="I941" t="s">
        <v>21</v>
      </c>
      <c r="J941" t="s">
        <v>15</v>
      </c>
      <c r="K941">
        <v>3</v>
      </c>
      <c r="L941" t="s">
        <v>30</v>
      </c>
      <c r="M941" t="s">
        <v>32</v>
      </c>
      <c r="N941">
        <v>46</v>
      </c>
      <c r="O941" t="str" cm="1">
        <f t="array" ref="O941">_xlfn.IFS(N941&gt;=54,"old",N941&gt;=31,"middle age",N941&gt;=18,"adolsent",N941&lt;18,"invalid")</f>
        <v>middle age</v>
      </c>
      <c r="P941" t="s">
        <v>18</v>
      </c>
    </row>
    <row r="942" spans="3:16" x14ac:dyDescent="0.3">
      <c r="C942">
        <v>28207</v>
      </c>
      <c r="D942" t="s">
        <v>36</v>
      </c>
      <c r="E942" t="s">
        <v>38</v>
      </c>
      <c r="F942" s="3">
        <v>80000</v>
      </c>
      <c r="G942">
        <v>4</v>
      </c>
      <c r="H942" t="s">
        <v>31</v>
      </c>
      <c r="I942" t="s">
        <v>28</v>
      </c>
      <c r="J942" t="s">
        <v>15</v>
      </c>
      <c r="K942">
        <v>1</v>
      </c>
      <c r="L942" t="s">
        <v>16</v>
      </c>
      <c r="M942" t="s">
        <v>24</v>
      </c>
      <c r="N942">
        <v>36</v>
      </c>
      <c r="O942" t="str" cm="1">
        <f t="array" ref="O942">_xlfn.IFS(N942&gt;=54,"old",N942&gt;=31,"middle age",N942&gt;=18,"adolsent",N942&lt;18,"invalid")</f>
        <v>middle age</v>
      </c>
      <c r="P942" t="s">
        <v>15</v>
      </c>
    </row>
    <row r="943" spans="3:16" x14ac:dyDescent="0.3">
      <c r="C943">
        <v>28228</v>
      </c>
      <c r="D943" t="s">
        <v>37</v>
      </c>
      <c r="E943" t="s">
        <v>39</v>
      </c>
      <c r="F943" s="3">
        <v>80000</v>
      </c>
      <c r="G943">
        <v>2</v>
      </c>
      <c r="H943" t="s">
        <v>29</v>
      </c>
      <c r="I943" t="s">
        <v>14</v>
      </c>
      <c r="J943" t="s">
        <v>18</v>
      </c>
      <c r="K943">
        <v>2</v>
      </c>
      <c r="L943" t="s">
        <v>26</v>
      </c>
      <c r="M943" t="s">
        <v>32</v>
      </c>
      <c r="N943">
        <v>50</v>
      </c>
      <c r="O943" t="str" cm="1">
        <f t="array" ref="O943">_xlfn.IFS(N943&gt;=54,"old",N943&gt;=31,"middle age",N943&gt;=18,"adolsent",N943&lt;18,"invalid")</f>
        <v>middle age</v>
      </c>
      <c r="P943" t="s">
        <v>18</v>
      </c>
    </row>
    <row r="944" spans="3:16" x14ac:dyDescent="0.3">
      <c r="C944">
        <v>28269</v>
      </c>
      <c r="D944" t="s">
        <v>37</v>
      </c>
      <c r="E944" t="s">
        <v>39</v>
      </c>
      <c r="F944" s="3">
        <v>130000</v>
      </c>
      <c r="G944">
        <v>1</v>
      </c>
      <c r="H944" t="s">
        <v>13</v>
      </c>
      <c r="I944" t="s">
        <v>28</v>
      </c>
      <c r="J944" t="s">
        <v>18</v>
      </c>
      <c r="K944">
        <v>1</v>
      </c>
      <c r="L944" t="s">
        <v>22</v>
      </c>
      <c r="M944" t="s">
        <v>32</v>
      </c>
      <c r="N944">
        <v>45</v>
      </c>
      <c r="O944" t="str" cm="1">
        <f t="array" ref="O944">_xlfn.IFS(N944&gt;=54,"old",N944&gt;=31,"middle age",N944&gt;=18,"adolsent",N944&lt;18,"invalid")</f>
        <v>middle age</v>
      </c>
      <c r="P944" t="s">
        <v>18</v>
      </c>
    </row>
    <row r="945" spans="3:16" x14ac:dyDescent="0.3">
      <c r="C945">
        <v>28278</v>
      </c>
      <c r="D945" t="s">
        <v>36</v>
      </c>
      <c r="E945" t="s">
        <v>38</v>
      </c>
      <c r="F945" s="3">
        <v>50000</v>
      </c>
      <c r="G945">
        <v>2</v>
      </c>
      <c r="H945" t="s">
        <v>31</v>
      </c>
      <c r="I945" t="s">
        <v>28</v>
      </c>
      <c r="J945" t="s">
        <v>15</v>
      </c>
      <c r="K945">
        <v>2</v>
      </c>
      <c r="L945" t="s">
        <v>23</v>
      </c>
      <c r="M945" t="s">
        <v>32</v>
      </c>
      <c r="N945">
        <v>71</v>
      </c>
      <c r="O945" t="str" cm="1">
        <f t="array" ref="O945">_xlfn.IFS(N945&gt;=54,"old",N945&gt;=31,"middle age",N945&gt;=18,"adolsent",N945&lt;18,"invalid")</f>
        <v>old</v>
      </c>
      <c r="P945" t="s">
        <v>18</v>
      </c>
    </row>
    <row r="946" spans="3:16" x14ac:dyDescent="0.3">
      <c r="C946">
        <v>28319</v>
      </c>
      <c r="D946" t="s">
        <v>37</v>
      </c>
      <c r="E946" t="s">
        <v>39</v>
      </c>
      <c r="F946" s="3">
        <v>60000</v>
      </c>
      <c r="G946">
        <v>1</v>
      </c>
      <c r="H946" t="s">
        <v>19</v>
      </c>
      <c r="I946" t="s">
        <v>14</v>
      </c>
      <c r="J946" t="s">
        <v>18</v>
      </c>
      <c r="K946">
        <v>1</v>
      </c>
      <c r="L946" t="s">
        <v>16</v>
      </c>
      <c r="M946" t="s">
        <v>24</v>
      </c>
      <c r="N946">
        <v>46</v>
      </c>
      <c r="O946" t="str" cm="1">
        <f t="array" ref="O946">_xlfn.IFS(N946&gt;=54,"old",N946&gt;=31,"middle age",N946&gt;=18,"adolsent",N946&lt;18,"invalid")</f>
        <v>middle age</v>
      </c>
      <c r="P946" t="s">
        <v>15</v>
      </c>
    </row>
    <row r="947" spans="3:16" x14ac:dyDescent="0.3">
      <c r="C947">
        <v>28323</v>
      </c>
      <c r="D947" t="s">
        <v>37</v>
      </c>
      <c r="E947" t="s">
        <v>38</v>
      </c>
      <c r="F947" s="3">
        <v>70000</v>
      </c>
      <c r="G947">
        <v>0</v>
      </c>
      <c r="H947" t="s">
        <v>13</v>
      </c>
      <c r="I947" t="s">
        <v>21</v>
      </c>
      <c r="J947" t="s">
        <v>18</v>
      </c>
      <c r="K947">
        <v>2</v>
      </c>
      <c r="L947" t="s">
        <v>23</v>
      </c>
      <c r="M947" t="s">
        <v>24</v>
      </c>
      <c r="N947">
        <v>43</v>
      </c>
      <c r="O947" t="str" cm="1">
        <f t="array" ref="O947">_xlfn.IFS(N947&gt;=54,"old",N947&gt;=31,"middle age",N947&gt;=18,"adolsent",N947&lt;18,"invalid")</f>
        <v>middle age</v>
      </c>
      <c r="P947" t="s">
        <v>15</v>
      </c>
    </row>
    <row r="948" spans="3:16" x14ac:dyDescent="0.3">
      <c r="C948">
        <v>28379</v>
      </c>
      <c r="D948" t="s">
        <v>36</v>
      </c>
      <c r="E948" t="s">
        <v>38</v>
      </c>
      <c r="F948" s="3">
        <v>30000</v>
      </c>
      <c r="G948">
        <v>1</v>
      </c>
      <c r="H948" t="s">
        <v>13</v>
      </c>
      <c r="I948" t="s">
        <v>14</v>
      </c>
      <c r="J948" t="s">
        <v>15</v>
      </c>
      <c r="K948">
        <v>2</v>
      </c>
      <c r="L948" t="s">
        <v>16</v>
      </c>
      <c r="M948" t="s">
        <v>17</v>
      </c>
      <c r="N948">
        <v>40</v>
      </c>
      <c r="O948" t="str" cm="1">
        <f t="array" ref="O948">_xlfn.IFS(N948&gt;=54,"old",N948&gt;=31,"middle age",N948&gt;=18,"adolsent",N948&lt;18,"invalid")</f>
        <v>middle age</v>
      </c>
      <c r="P948" t="s">
        <v>18</v>
      </c>
    </row>
    <row r="949" spans="3:16" x14ac:dyDescent="0.3">
      <c r="C949">
        <v>28380</v>
      </c>
      <c r="D949" t="s">
        <v>37</v>
      </c>
      <c r="E949" t="s">
        <v>39</v>
      </c>
      <c r="F949" s="3">
        <v>10000</v>
      </c>
      <c r="G949">
        <v>5</v>
      </c>
      <c r="H949" t="s">
        <v>29</v>
      </c>
      <c r="I949" t="s">
        <v>25</v>
      </c>
      <c r="J949" t="s">
        <v>18</v>
      </c>
      <c r="K949">
        <v>2</v>
      </c>
      <c r="L949" t="s">
        <v>16</v>
      </c>
      <c r="M949" t="s">
        <v>17</v>
      </c>
      <c r="N949">
        <v>41</v>
      </c>
      <c r="O949" t="str" cm="1">
        <f t="array" ref="O949">_xlfn.IFS(N949&gt;=54,"old",N949&gt;=31,"middle age",N949&gt;=18,"adolsent",N949&lt;18,"invalid")</f>
        <v>middle age</v>
      </c>
      <c r="P949" t="s">
        <v>18</v>
      </c>
    </row>
    <row r="950" spans="3:16" x14ac:dyDescent="0.3">
      <c r="C950">
        <v>28395</v>
      </c>
      <c r="D950" t="s">
        <v>37</v>
      </c>
      <c r="E950" t="s">
        <v>38</v>
      </c>
      <c r="F950" s="3">
        <v>40000</v>
      </c>
      <c r="G950">
        <v>0</v>
      </c>
      <c r="H950" t="s">
        <v>13</v>
      </c>
      <c r="I950" t="s">
        <v>21</v>
      </c>
      <c r="J950" t="s">
        <v>18</v>
      </c>
      <c r="K950">
        <v>0</v>
      </c>
      <c r="L950" t="s">
        <v>16</v>
      </c>
      <c r="M950" t="s">
        <v>17</v>
      </c>
      <c r="N950">
        <v>39</v>
      </c>
      <c r="O950" t="str" cm="1">
        <f t="array" ref="O950">_xlfn.IFS(N950&gt;=54,"old",N950&gt;=31,"middle age",N950&gt;=18,"adolsent",N950&lt;18,"invalid")</f>
        <v>middle age</v>
      </c>
      <c r="P950" t="s">
        <v>15</v>
      </c>
    </row>
    <row r="951" spans="3:16" x14ac:dyDescent="0.3">
      <c r="C951">
        <v>28412</v>
      </c>
      <c r="D951" t="s">
        <v>37</v>
      </c>
      <c r="E951" t="s">
        <v>38</v>
      </c>
      <c r="F951" s="3">
        <v>20000</v>
      </c>
      <c r="G951">
        <v>0</v>
      </c>
      <c r="H951" t="s">
        <v>27</v>
      </c>
      <c r="I951" t="s">
        <v>25</v>
      </c>
      <c r="J951" t="s">
        <v>18</v>
      </c>
      <c r="K951">
        <v>1</v>
      </c>
      <c r="L951" t="s">
        <v>22</v>
      </c>
      <c r="M951" t="s">
        <v>17</v>
      </c>
      <c r="N951">
        <v>29</v>
      </c>
      <c r="O951" t="str" cm="1">
        <f t="array" ref="O951">_xlfn.IFS(N951&gt;=54,"old",N951&gt;=31,"middle age",N951&gt;=18,"adolsent",N951&lt;18,"invalid")</f>
        <v>adolsent</v>
      </c>
      <c r="P951" t="s">
        <v>18</v>
      </c>
    </row>
    <row r="952" spans="3:16" x14ac:dyDescent="0.3">
      <c r="C952">
        <v>28436</v>
      </c>
      <c r="D952" t="s">
        <v>37</v>
      </c>
      <c r="E952" t="s">
        <v>38</v>
      </c>
      <c r="F952" s="3">
        <v>30000</v>
      </c>
      <c r="G952">
        <v>0</v>
      </c>
      <c r="H952" t="s">
        <v>19</v>
      </c>
      <c r="I952" t="s">
        <v>20</v>
      </c>
      <c r="J952" t="s">
        <v>18</v>
      </c>
      <c r="K952">
        <v>1</v>
      </c>
      <c r="L952" t="s">
        <v>16</v>
      </c>
      <c r="M952" t="s">
        <v>17</v>
      </c>
      <c r="N952">
        <v>30</v>
      </c>
      <c r="O952" t="str" cm="1">
        <f t="array" ref="O952">_xlfn.IFS(N952&gt;=54,"old",N952&gt;=31,"middle age",N952&gt;=18,"adolsent",N952&lt;18,"invalid")</f>
        <v>adolsent</v>
      </c>
      <c r="P952" t="s">
        <v>15</v>
      </c>
    </row>
    <row r="953" spans="3:16" x14ac:dyDescent="0.3">
      <c r="C953">
        <v>28468</v>
      </c>
      <c r="D953" t="s">
        <v>36</v>
      </c>
      <c r="E953" t="s">
        <v>39</v>
      </c>
      <c r="F953" s="3">
        <v>10000</v>
      </c>
      <c r="G953">
        <v>2</v>
      </c>
      <c r="H953" t="s">
        <v>19</v>
      </c>
      <c r="I953" t="s">
        <v>25</v>
      </c>
      <c r="J953" t="s">
        <v>15</v>
      </c>
      <c r="K953">
        <v>0</v>
      </c>
      <c r="L953" t="s">
        <v>26</v>
      </c>
      <c r="M953" t="s">
        <v>17</v>
      </c>
      <c r="N953">
        <v>51</v>
      </c>
      <c r="O953" t="str" cm="1">
        <f t="array" ref="O953">_xlfn.IFS(N953&gt;=54,"old",N953&gt;=31,"middle age",N953&gt;=18,"adolsent",N953&lt;18,"invalid")</f>
        <v>middle age</v>
      </c>
      <c r="P953" t="s">
        <v>18</v>
      </c>
    </row>
    <row r="954" spans="3:16" x14ac:dyDescent="0.3">
      <c r="C954">
        <v>28488</v>
      </c>
      <c r="D954" t="s">
        <v>37</v>
      </c>
      <c r="E954" t="s">
        <v>38</v>
      </c>
      <c r="F954" s="3">
        <v>20000</v>
      </c>
      <c r="G954">
        <v>0</v>
      </c>
      <c r="H954" t="s">
        <v>19</v>
      </c>
      <c r="I954" t="s">
        <v>25</v>
      </c>
      <c r="J954" t="s">
        <v>15</v>
      </c>
      <c r="K954">
        <v>0</v>
      </c>
      <c r="L954" t="s">
        <v>16</v>
      </c>
      <c r="M954" t="s">
        <v>24</v>
      </c>
      <c r="N954">
        <v>28</v>
      </c>
      <c r="O954" t="str" cm="1">
        <f t="array" ref="O954">_xlfn.IFS(N954&gt;=54,"old",N954&gt;=31,"middle age",N954&gt;=18,"adolsent",N954&lt;18,"invalid")</f>
        <v>adolsent</v>
      </c>
      <c r="P954" t="s">
        <v>15</v>
      </c>
    </row>
    <row r="955" spans="3:16" x14ac:dyDescent="0.3">
      <c r="C955">
        <v>28521</v>
      </c>
      <c r="D955" t="s">
        <v>37</v>
      </c>
      <c r="E955" t="s">
        <v>38</v>
      </c>
      <c r="F955" s="3">
        <v>40000</v>
      </c>
      <c r="G955">
        <v>0</v>
      </c>
      <c r="H955" t="s">
        <v>31</v>
      </c>
      <c r="I955" t="s">
        <v>20</v>
      </c>
      <c r="J955" t="s">
        <v>18</v>
      </c>
      <c r="K955">
        <v>0</v>
      </c>
      <c r="L955" t="s">
        <v>16</v>
      </c>
      <c r="M955" t="s">
        <v>17</v>
      </c>
      <c r="N955">
        <v>36</v>
      </c>
      <c r="O955" t="str" cm="1">
        <f t="array" ref="O955">_xlfn.IFS(N955&gt;=54,"old",N955&gt;=31,"middle age",N955&gt;=18,"adolsent",N955&lt;18,"invalid")</f>
        <v>middle age</v>
      </c>
      <c r="P955" t="s">
        <v>15</v>
      </c>
    </row>
    <row r="956" spans="3:16" x14ac:dyDescent="0.3">
      <c r="C956">
        <v>28564</v>
      </c>
      <c r="D956" t="s">
        <v>37</v>
      </c>
      <c r="E956" t="s">
        <v>39</v>
      </c>
      <c r="F956" s="3">
        <v>40000</v>
      </c>
      <c r="G956">
        <v>2</v>
      </c>
      <c r="H956" t="s">
        <v>19</v>
      </c>
      <c r="I956" t="s">
        <v>20</v>
      </c>
      <c r="J956" t="s">
        <v>15</v>
      </c>
      <c r="K956">
        <v>0</v>
      </c>
      <c r="L956" t="s">
        <v>26</v>
      </c>
      <c r="M956" t="s">
        <v>17</v>
      </c>
      <c r="N956">
        <v>33</v>
      </c>
      <c r="O956" t="str" cm="1">
        <f t="array" ref="O956">_xlfn.IFS(N956&gt;=54,"old",N956&gt;=31,"middle age",N956&gt;=18,"adolsent",N956&lt;18,"invalid")</f>
        <v>middle age</v>
      </c>
      <c r="P956" t="s">
        <v>15</v>
      </c>
    </row>
    <row r="957" spans="3:16" x14ac:dyDescent="0.3">
      <c r="C957">
        <v>28580</v>
      </c>
      <c r="D957" t="s">
        <v>36</v>
      </c>
      <c r="E957" t="s">
        <v>39</v>
      </c>
      <c r="F957" s="3">
        <v>80000</v>
      </c>
      <c r="G957">
        <v>0</v>
      </c>
      <c r="H957" t="s">
        <v>31</v>
      </c>
      <c r="I957" t="s">
        <v>14</v>
      </c>
      <c r="J957" t="s">
        <v>15</v>
      </c>
      <c r="K957">
        <v>0</v>
      </c>
      <c r="L957" t="s">
        <v>26</v>
      </c>
      <c r="M957" t="s">
        <v>32</v>
      </c>
      <c r="N957">
        <v>40</v>
      </c>
      <c r="O957" t="str" cm="1">
        <f t="array" ref="O957">_xlfn.IFS(N957&gt;=54,"old",N957&gt;=31,"middle age",N957&gt;=18,"adolsent",N957&lt;18,"invalid")</f>
        <v>middle age</v>
      </c>
      <c r="P957" t="s">
        <v>15</v>
      </c>
    </row>
    <row r="958" spans="3:16" x14ac:dyDescent="0.3">
      <c r="C958">
        <v>28609</v>
      </c>
      <c r="D958" t="s">
        <v>36</v>
      </c>
      <c r="E958" t="s">
        <v>38</v>
      </c>
      <c r="F958" s="3">
        <v>30000</v>
      </c>
      <c r="G958">
        <v>2</v>
      </c>
      <c r="H958" t="s">
        <v>27</v>
      </c>
      <c r="I958" t="s">
        <v>14</v>
      </c>
      <c r="J958" t="s">
        <v>18</v>
      </c>
      <c r="K958">
        <v>2</v>
      </c>
      <c r="L958" t="s">
        <v>16</v>
      </c>
      <c r="M958" t="s">
        <v>32</v>
      </c>
      <c r="N958">
        <v>49</v>
      </c>
      <c r="O958" t="str" cm="1">
        <f t="array" ref="O958">_xlfn.IFS(N958&gt;=54,"old",N958&gt;=31,"middle age",N958&gt;=18,"adolsent",N958&lt;18,"invalid")</f>
        <v>middle age</v>
      </c>
      <c r="P958" t="s">
        <v>18</v>
      </c>
    </row>
    <row r="959" spans="3:16" x14ac:dyDescent="0.3">
      <c r="C959">
        <v>28625</v>
      </c>
      <c r="D959" t="s">
        <v>37</v>
      </c>
      <c r="E959" t="s">
        <v>38</v>
      </c>
      <c r="F959" s="3">
        <v>40000</v>
      </c>
      <c r="G959">
        <v>2</v>
      </c>
      <c r="H959" t="s">
        <v>19</v>
      </c>
      <c r="I959" t="s">
        <v>20</v>
      </c>
      <c r="J959" t="s">
        <v>18</v>
      </c>
      <c r="K959">
        <v>1</v>
      </c>
      <c r="L959" t="s">
        <v>26</v>
      </c>
      <c r="M959" t="s">
        <v>32</v>
      </c>
      <c r="N959">
        <v>47</v>
      </c>
      <c r="O959" t="str" cm="1">
        <f t="array" ref="O959">_xlfn.IFS(N959&gt;=54,"old",N959&gt;=31,"middle age",N959&gt;=18,"adolsent",N959&lt;18,"invalid")</f>
        <v>middle age</v>
      </c>
      <c r="P959" t="s">
        <v>15</v>
      </c>
    </row>
    <row r="960" spans="3:16" x14ac:dyDescent="0.3">
      <c r="C960">
        <v>28657</v>
      </c>
      <c r="D960" t="s">
        <v>37</v>
      </c>
      <c r="E960" t="s">
        <v>38</v>
      </c>
      <c r="F960" s="3">
        <v>60000</v>
      </c>
      <c r="G960">
        <v>2</v>
      </c>
      <c r="H960" t="s">
        <v>13</v>
      </c>
      <c r="I960" t="s">
        <v>14</v>
      </c>
      <c r="J960" t="s">
        <v>15</v>
      </c>
      <c r="K960">
        <v>0</v>
      </c>
      <c r="L960" t="s">
        <v>22</v>
      </c>
      <c r="M960" t="s">
        <v>32</v>
      </c>
      <c r="N960">
        <v>36</v>
      </c>
      <c r="O960" t="str" cm="1">
        <f t="array" ref="O960">_xlfn.IFS(N960&gt;=54,"old",N960&gt;=31,"middle age",N960&gt;=18,"adolsent",N960&lt;18,"invalid")</f>
        <v>middle age</v>
      </c>
      <c r="P960" t="s">
        <v>15</v>
      </c>
    </row>
    <row r="961" spans="3:16" x14ac:dyDescent="0.3">
      <c r="C961">
        <v>28667</v>
      </c>
      <c r="D961" t="s">
        <v>37</v>
      </c>
      <c r="E961" t="s">
        <v>38</v>
      </c>
      <c r="F961" s="3">
        <v>70000</v>
      </c>
      <c r="G961">
        <v>2</v>
      </c>
      <c r="H961" t="s">
        <v>13</v>
      </c>
      <c r="I961" t="s">
        <v>14</v>
      </c>
      <c r="J961" t="s">
        <v>18</v>
      </c>
      <c r="K961">
        <v>1</v>
      </c>
      <c r="L961" t="s">
        <v>16</v>
      </c>
      <c r="M961" t="s">
        <v>32</v>
      </c>
      <c r="N961">
        <v>37</v>
      </c>
      <c r="O961" t="str" cm="1">
        <f t="array" ref="O961">_xlfn.IFS(N961&gt;=54,"old",N961&gt;=31,"middle age",N961&gt;=18,"adolsent",N961&lt;18,"invalid")</f>
        <v>middle age</v>
      </c>
      <c r="P961" t="s">
        <v>15</v>
      </c>
    </row>
    <row r="962" spans="3:16" x14ac:dyDescent="0.3">
      <c r="C962">
        <v>28672</v>
      </c>
      <c r="D962" t="s">
        <v>37</v>
      </c>
      <c r="E962" t="s">
        <v>38</v>
      </c>
      <c r="F962" s="3">
        <v>70000</v>
      </c>
      <c r="G962">
        <v>4</v>
      </c>
      <c r="H962" t="s">
        <v>31</v>
      </c>
      <c r="I962" t="s">
        <v>21</v>
      </c>
      <c r="J962" t="s">
        <v>15</v>
      </c>
      <c r="K962">
        <v>0</v>
      </c>
      <c r="L962" t="s">
        <v>22</v>
      </c>
      <c r="M962" t="s">
        <v>32</v>
      </c>
      <c r="N962">
        <v>35</v>
      </c>
      <c r="O962" t="str" cm="1">
        <f t="array" ref="O962">_xlfn.IFS(N962&gt;=54,"old",N962&gt;=31,"middle age",N962&gt;=18,"adolsent",N962&lt;18,"invalid")</f>
        <v>middle age</v>
      </c>
      <c r="P962" t="s">
        <v>15</v>
      </c>
    </row>
    <row r="963" spans="3:16" x14ac:dyDescent="0.3">
      <c r="C963">
        <v>28683</v>
      </c>
      <c r="D963" t="s">
        <v>37</v>
      </c>
      <c r="E963" t="s">
        <v>39</v>
      </c>
      <c r="F963" s="3">
        <v>10000</v>
      </c>
      <c r="G963">
        <v>1</v>
      </c>
      <c r="H963" t="s">
        <v>27</v>
      </c>
      <c r="I963" t="s">
        <v>25</v>
      </c>
      <c r="J963" t="s">
        <v>18</v>
      </c>
      <c r="K963">
        <v>1</v>
      </c>
      <c r="L963" t="s">
        <v>23</v>
      </c>
      <c r="M963" t="s">
        <v>17</v>
      </c>
      <c r="N963">
        <v>35</v>
      </c>
      <c r="O963" t="str" cm="1">
        <f t="array" ref="O963">_xlfn.IFS(N963&gt;=54,"old",N963&gt;=31,"middle age",N963&gt;=18,"adolsent",N963&lt;18,"invalid")</f>
        <v>middle age</v>
      </c>
      <c r="P963" t="s">
        <v>15</v>
      </c>
    </row>
    <row r="964" spans="3:16" x14ac:dyDescent="0.3">
      <c r="C964">
        <v>28729</v>
      </c>
      <c r="D964" t="s">
        <v>37</v>
      </c>
      <c r="E964" t="s">
        <v>39</v>
      </c>
      <c r="F964" s="3">
        <v>20000</v>
      </c>
      <c r="G964">
        <v>0</v>
      </c>
      <c r="H964" t="s">
        <v>29</v>
      </c>
      <c r="I964" t="s">
        <v>25</v>
      </c>
      <c r="J964" t="s">
        <v>15</v>
      </c>
      <c r="K964">
        <v>2</v>
      </c>
      <c r="L964" t="s">
        <v>26</v>
      </c>
      <c r="M964" t="s">
        <v>17</v>
      </c>
      <c r="N964">
        <v>26</v>
      </c>
      <c r="O964" t="str" cm="1">
        <f t="array" ref="O964">_xlfn.IFS(N964&gt;=54,"old",N964&gt;=31,"middle age",N964&gt;=18,"adolsent",N964&lt;18,"invalid")</f>
        <v>adolsent</v>
      </c>
      <c r="P964" t="s">
        <v>15</v>
      </c>
    </row>
    <row r="965" spans="3:16" x14ac:dyDescent="0.3">
      <c r="C965">
        <v>28758</v>
      </c>
      <c r="D965" t="s">
        <v>36</v>
      </c>
      <c r="E965" t="s">
        <v>38</v>
      </c>
      <c r="F965" s="3">
        <v>40000</v>
      </c>
      <c r="G965">
        <v>2</v>
      </c>
      <c r="H965" t="s">
        <v>19</v>
      </c>
      <c r="I965" t="s">
        <v>20</v>
      </c>
      <c r="J965" t="s">
        <v>15</v>
      </c>
      <c r="K965">
        <v>1</v>
      </c>
      <c r="L965" t="s">
        <v>26</v>
      </c>
      <c r="M965" t="s">
        <v>17</v>
      </c>
      <c r="N965">
        <v>35</v>
      </c>
      <c r="O965" t="str" cm="1">
        <f t="array" ref="O965">_xlfn.IFS(N965&gt;=54,"old",N965&gt;=31,"middle age",N965&gt;=18,"adolsent",N965&lt;18,"invalid")</f>
        <v>middle age</v>
      </c>
      <c r="P965" t="s">
        <v>15</v>
      </c>
    </row>
    <row r="966" spans="3:16" x14ac:dyDescent="0.3">
      <c r="C966">
        <v>28799</v>
      </c>
      <c r="D966" t="s">
        <v>37</v>
      </c>
      <c r="E966" t="s">
        <v>39</v>
      </c>
      <c r="F966" s="3">
        <v>40000</v>
      </c>
      <c r="G966">
        <v>2</v>
      </c>
      <c r="H966" t="s">
        <v>19</v>
      </c>
      <c r="I966" t="s">
        <v>20</v>
      </c>
      <c r="J966" t="s">
        <v>18</v>
      </c>
      <c r="K966">
        <v>1</v>
      </c>
      <c r="L966" t="s">
        <v>26</v>
      </c>
      <c r="M966" t="s">
        <v>32</v>
      </c>
      <c r="N966">
        <v>47</v>
      </c>
      <c r="O966" t="str" cm="1">
        <f t="array" ref="O966">_xlfn.IFS(N966&gt;=54,"old",N966&gt;=31,"middle age",N966&gt;=18,"adolsent",N966&lt;18,"invalid")</f>
        <v>middle age</v>
      </c>
      <c r="P966" t="s">
        <v>15</v>
      </c>
    </row>
    <row r="967" spans="3:16" x14ac:dyDescent="0.3">
      <c r="C967">
        <v>28815</v>
      </c>
      <c r="D967" t="s">
        <v>36</v>
      </c>
      <c r="E967" t="s">
        <v>39</v>
      </c>
      <c r="F967" s="3">
        <v>50000</v>
      </c>
      <c r="G967">
        <v>1</v>
      </c>
      <c r="H967" t="s">
        <v>31</v>
      </c>
      <c r="I967" t="s">
        <v>14</v>
      </c>
      <c r="J967" t="s">
        <v>15</v>
      </c>
      <c r="K967">
        <v>0</v>
      </c>
      <c r="L967" t="s">
        <v>16</v>
      </c>
      <c r="M967" t="s">
        <v>32</v>
      </c>
      <c r="N967">
        <v>35</v>
      </c>
      <c r="O967" t="str" cm="1">
        <f t="array" ref="O967">_xlfn.IFS(N967&gt;=54,"old",N967&gt;=31,"middle age",N967&gt;=18,"adolsent",N967&lt;18,"invalid")</f>
        <v>middle age</v>
      </c>
      <c r="P967" t="s">
        <v>18</v>
      </c>
    </row>
    <row r="968" spans="3:16" x14ac:dyDescent="0.3">
      <c r="C968">
        <v>28858</v>
      </c>
      <c r="D968" t="s">
        <v>37</v>
      </c>
      <c r="E968" t="s">
        <v>38</v>
      </c>
      <c r="F968" s="3">
        <v>80000</v>
      </c>
      <c r="G968">
        <v>3</v>
      </c>
      <c r="H968" t="s">
        <v>13</v>
      </c>
      <c r="I968" t="s">
        <v>14</v>
      </c>
      <c r="J968" t="s">
        <v>15</v>
      </c>
      <c r="K968">
        <v>0</v>
      </c>
      <c r="L968" t="s">
        <v>22</v>
      </c>
      <c r="M968" t="s">
        <v>32</v>
      </c>
      <c r="N968">
        <v>40</v>
      </c>
      <c r="O968" t="str" cm="1">
        <f t="array" ref="O968">_xlfn.IFS(N968&gt;=54,"old",N968&gt;=31,"middle age",N968&gt;=18,"adolsent",N968&lt;18,"invalid")</f>
        <v>middle age</v>
      </c>
      <c r="P968" t="s">
        <v>18</v>
      </c>
    </row>
    <row r="969" spans="3:16" x14ac:dyDescent="0.3">
      <c r="C969">
        <v>28906</v>
      </c>
      <c r="D969" t="s">
        <v>36</v>
      </c>
      <c r="E969" t="s">
        <v>38</v>
      </c>
      <c r="F969" s="3">
        <v>80000</v>
      </c>
      <c r="G969">
        <v>4</v>
      </c>
      <c r="H969" t="s">
        <v>27</v>
      </c>
      <c r="I969" t="s">
        <v>21</v>
      </c>
      <c r="J969" t="s">
        <v>15</v>
      </c>
      <c r="K969">
        <v>2</v>
      </c>
      <c r="L969" t="s">
        <v>30</v>
      </c>
      <c r="M969" t="s">
        <v>17</v>
      </c>
      <c r="N969">
        <v>54</v>
      </c>
      <c r="O969" t="str" cm="1">
        <f t="array" ref="O969">_xlfn.IFS(N969&gt;=54,"old",N969&gt;=31,"middle age",N969&gt;=18,"adolsent",N969&lt;18,"invalid")</f>
        <v>old</v>
      </c>
      <c r="P969" t="s">
        <v>18</v>
      </c>
    </row>
    <row r="970" spans="3:16" x14ac:dyDescent="0.3">
      <c r="C970">
        <v>28915</v>
      </c>
      <c r="D970" t="s">
        <v>37</v>
      </c>
      <c r="E970" t="s">
        <v>38</v>
      </c>
      <c r="F970" s="3">
        <v>80000</v>
      </c>
      <c r="G970">
        <v>5</v>
      </c>
      <c r="H970" t="s">
        <v>27</v>
      </c>
      <c r="I970" t="s">
        <v>28</v>
      </c>
      <c r="J970" t="s">
        <v>15</v>
      </c>
      <c r="K970">
        <v>3</v>
      </c>
      <c r="L970" t="s">
        <v>30</v>
      </c>
      <c r="M970" t="s">
        <v>17</v>
      </c>
      <c r="N970">
        <v>57</v>
      </c>
      <c r="O970" t="str" cm="1">
        <f t="array" ref="O970">_xlfn.IFS(N970&gt;=54,"old",N970&gt;=31,"middle age",N970&gt;=18,"adolsent",N970&lt;18,"invalid")</f>
        <v>old</v>
      </c>
      <c r="P970" t="s">
        <v>18</v>
      </c>
    </row>
    <row r="971" spans="3:16" x14ac:dyDescent="0.3">
      <c r="C971">
        <v>28918</v>
      </c>
      <c r="D971" t="s">
        <v>36</v>
      </c>
      <c r="E971" t="s">
        <v>39</v>
      </c>
      <c r="F971" s="3">
        <v>130000</v>
      </c>
      <c r="G971">
        <v>4</v>
      </c>
      <c r="H971" t="s">
        <v>27</v>
      </c>
      <c r="I971" t="s">
        <v>28</v>
      </c>
      <c r="J971" t="s">
        <v>18</v>
      </c>
      <c r="K971">
        <v>4</v>
      </c>
      <c r="L971" t="s">
        <v>30</v>
      </c>
      <c r="M971" t="s">
        <v>17</v>
      </c>
      <c r="N971">
        <v>58</v>
      </c>
      <c r="O971" t="str" cm="1">
        <f t="array" ref="O971">_xlfn.IFS(N971&gt;=54,"old",N971&gt;=31,"middle age",N971&gt;=18,"adolsent",N971&lt;18,"invalid")</f>
        <v>old</v>
      </c>
      <c r="P971" t="s">
        <v>18</v>
      </c>
    </row>
    <row r="972" spans="3:16" x14ac:dyDescent="0.3">
      <c r="C972">
        <v>28957</v>
      </c>
      <c r="D972" t="s">
        <v>37</v>
      </c>
      <c r="E972" t="s">
        <v>39</v>
      </c>
      <c r="F972" s="3">
        <v>120000</v>
      </c>
      <c r="G972">
        <v>0</v>
      </c>
      <c r="H972" t="s">
        <v>29</v>
      </c>
      <c r="I972" t="s">
        <v>21</v>
      </c>
      <c r="J972" t="s">
        <v>15</v>
      </c>
      <c r="K972">
        <v>4</v>
      </c>
      <c r="L972" t="s">
        <v>30</v>
      </c>
      <c r="M972" t="s">
        <v>24</v>
      </c>
      <c r="N972">
        <v>34</v>
      </c>
      <c r="O972" t="str" cm="1">
        <f t="array" ref="O972">_xlfn.IFS(N972&gt;=54,"old",N972&gt;=31,"middle age",N972&gt;=18,"adolsent",N972&lt;18,"invalid")</f>
        <v>middle age</v>
      </c>
      <c r="P972" t="s">
        <v>15</v>
      </c>
    </row>
    <row r="973" spans="3:16" x14ac:dyDescent="0.3">
      <c r="C973">
        <v>28972</v>
      </c>
      <c r="D973" t="s">
        <v>37</v>
      </c>
      <c r="E973" t="s">
        <v>39</v>
      </c>
      <c r="F973" s="3">
        <v>60000</v>
      </c>
      <c r="G973">
        <v>3</v>
      </c>
      <c r="H973" t="s">
        <v>31</v>
      </c>
      <c r="I973" t="s">
        <v>28</v>
      </c>
      <c r="J973" t="s">
        <v>15</v>
      </c>
      <c r="K973">
        <v>2</v>
      </c>
      <c r="L973" t="s">
        <v>30</v>
      </c>
      <c r="M973" t="s">
        <v>32</v>
      </c>
      <c r="N973">
        <v>66</v>
      </c>
      <c r="O973" t="str" cm="1">
        <f t="array" ref="O973">_xlfn.IFS(N973&gt;=54,"old",N973&gt;=31,"middle age",N973&gt;=18,"adolsent",N973&lt;18,"invalid")</f>
        <v>old</v>
      </c>
      <c r="P973" t="s">
        <v>18</v>
      </c>
    </row>
    <row r="974" spans="3:16" x14ac:dyDescent="0.3">
      <c r="C974">
        <v>28997</v>
      </c>
      <c r="D974" t="s">
        <v>37</v>
      </c>
      <c r="E974" t="s">
        <v>38</v>
      </c>
      <c r="F974" s="3">
        <v>40000</v>
      </c>
      <c r="G974">
        <v>2</v>
      </c>
      <c r="H974" t="s">
        <v>27</v>
      </c>
      <c r="I974" t="s">
        <v>21</v>
      </c>
      <c r="J974" t="s">
        <v>18</v>
      </c>
      <c r="K974">
        <v>1</v>
      </c>
      <c r="L974" t="s">
        <v>22</v>
      </c>
      <c r="M974" t="s">
        <v>32</v>
      </c>
      <c r="N974">
        <v>58</v>
      </c>
      <c r="O974" t="str" cm="1">
        <f t="array" ref="O974">_xlfn.IFS(N974&gt;=54,"old",N974&gt;=31,"middle age",N974&gt;=18,"adolsent",N974&lt;18,"invalid")</f>
        <v>old</v>
      </c>
      <c r="P974" t="s">
        <v>15</v>
      </c>
    </row>
    <row r="975" spans="3:16" x14ac:dyDescent="0.3">
      <c r="C975">
        <v>29030</v>
      </c>
      <c r="D975" t="s">
        <v>36</v>
      </c>
      <c r="E975" t="s">
        <v>38</v>
      </c>
      <c r="F975" s="3">
        <v>70000</v>
      </c>
      <c r="G975">
        <v>2</v>
      </c>
      <c r="H975" t="s">
        <v>29</v>
      </c>
      <c r="I975" t="s">
        <v>14</v>
      </c>
      <c r="J975" t="s">
        <v>15</v>
      </c>
      <c r="K975">
        <v>2</v>
      </c>
      <c r="L975" t="s">
        <v>30</v>
      </c>
      <c r="M975" t="s">
        <v>32</v>
      </c>
      <c r="N975">
        <v>54</v>
      </c>
      <c r="O975" t="str" cm="1">
        <f t="array" ref="O975">_xlfn.IFS(N975&gt;=54,"old",N975&gt;=31,"middle age",N975&gt;=18,"adolsent",N975&lt;18,"invalid")</f>
        <v>old</v>
      </c>
      <c r="P975" t="s">
        <v>18</v>
      </c>
    </row>
    <row r="976" spans="3:16" x14ac:dyDescent="0.3">
      <c r="C976">
        <v>29037</v>
      </c>
      <c r="D976" t="s">
        <v>36</v>
      </c>
      <c r="E976" t="s">
        <v>38</v>
      </c>
      <c r="F976" s="3">
        <v>60000</v>
      </c>
      <c r="G976">
        <v>0</v>
      </c>
      <c r="H976" t="s">
        <v>31</v>
      </c>
      <c r="I976" t="s">
        <v>21</v>
      </c>
      <c r="J976" t="s">
        <v>18</v>
      </c>
      <c r="K976">
        <v>0</v>
      </c>
      <c r="L976" t="s">
        <v>16</v>
      </c>
      <c r="M976" t="s">
        <v>32</v>
      </c>
      <c r="N976">
        <v>39</v>
      </c>
      <c r="O976" t="str" cm="1">
        <f t="array" ref="O976">_xlfn.IFS(N976&gt;=54,"old",N976&gt;=31,"middle age",N976&gt;=18,"adolsent",N976&lt;18,"invalid")</f>
        <v>middle age</v>
      </c>
      <c r="P976" t="s">
        <v>18</v>
      </c>
    </row>
    <row r="977" spans="3:17" x14ac:dyDescent="0.3">
      <c r="C977">
        <v>29048</v>
      </c>
      <c r="D977" t="s">
        <v>37</v>
      </c>
      <c r="E977" t="s">
        <v>38</v>
      </c>
      <c r="F977" s="3">
        <v>110000</v>
      </c>
      <c r="G977">
        <v>2</v>
      </c>
      <c r="H977" t="s">
        <v>13</v>
      </c>
      <c r="I977" t="s">
        <v>28</v>
      </c>
      <c r="J977" t="s">
        <v>18</v>
      </c>
      <c r="K977">
        <v>3</v>
      </c>
      <c r="L977" t="s">
        <v>16</v>
      </c>
      <c r="M977" t="s">
        <v>32</v>
      </c>
      <c r="N977">
        <v>37</v>
      </c>
      <c r="O977" t="str" cm="1">
        <f t="array" ref="O977">_xlfn.IFS(N977&gt;=54,"old",N977&gt;=31,"middle age",N977&gt;=18,"adolsent",N977&lt;18,"invalid")</f>
        <v>middle age</v>
      </c>
      <c r="P977" t="s">
        <v>15</v>
      </c>
      <c r="Q977" s="3">
        <f>AVERAGE(F2:F1001)</f>
        <v>56360</v>
      </c>
    </row>
    <row r="978" spans="3:17" x14ac:dyDescent="0.3">
      <c r="C978">
        <v>29052</v>
      </c>
      <c r="D978" t="s">
        <v>37</v>
      </c>
      <c r="E978" t="s">
        <v>38</v>
      </c>
      <c r="F978" s="3">
        <v>40000</v>
      </c>
      <c r="G978">
        <v>0</v>
      </c>
      <c r="H978" t="s">
        <v>19</v>
      </c>
      <c r="I978" t="s">
        <v>14</v>
      </c>
      <c r="J978" t="s">
        <v>15</v>
      </c>
      <c r="K978">
        <v>1</v>
      </c>
      <c r="L978" t="s">
        <v>23</v>
      </c>
      <c r="M978" t="s">
        <v>32</v>
      </c>
      <c r="N978">
        <v>27</v>
      </c>
      <c r="O978" t="str" cm="1">
        <f t="array" ref="O978">_xlfn.IFS(N978&gt;=54,"old",N978&gt;=31,"middle age",N978&gt;=18,"adolsent",N978&lt;18,"invalid")</f>
        <v>adolsent</v>
      </c>
      <c r="P978" t="s">
        <v>18</v>
      </c>
    </row>
    <row r="979" spans="3:17" x14ac:dyDescent="0.3">
      <c r="C979">
        <v>29094</v>
      </c>
      <c r="D979" t="s">
        <v>36</v>
      </c>
      <c r="E979" t="s">
        <v>38</v>
      </c>
      <c r="F979" s="3">
        <v>30000</v>
      </c>
      <c r="G979">
        <v>3</v>
      </c>
      <c r="H979" t="s">
        <v>27</v>
      </c>
      <c r="I979" t="s">
        <v>14</v>
      </c>
      <c r="J979" t="s">
        <v>15</v>
      </c>
      <c r="K979">
        <v>2</v>
      </c>
      <c r="L979" t="s">
        <v>23</v>
      </c>
      <c r="M979" t="s">
        <v>24</v>
      </c>
      <c r="N979">
        <v>54</v>
      </c>
      <c r="O979" t="str" cm="1">
        <f t="array" ref="O979">_xlfn.IFS(N979&gt;=54,"old",N979&gt;=31,"middle age",N979&gt;=18,"adolsent",N979&lt;18,"invalid")</f>
        <v>old</v>
      </c>
      <c r="P979" t="s">
        <v>15</v>
      </c>
    </row>
    <row r="980" spans="3:17" x14ac:dyDescent="0.3">
      <c r="C980">
        <v>29097</v>
      </c>
      <c r="D980" t="s">
        <v>37</v>
      </c>
      <c r="E980" t="s">
        <v>39</v>
      </c>
      <c r="F980" s="3">
        <v>40000</v>
      </c>
      <c r="G980">
        <v>2</v>
      </c>
      <c r="H980" t="s">
        <v>19</v>
      </c>
      <c r="I980" t="s">
        <v>14</v>
      </c>
      <c r="J980" t="s">
        <v>15</v>
      </c>
      <c r="K980">
        <v>2</v>
      </c>
      <c r="L980" t="s">
        <v>23</v>
      </c>
      <c r="M980" t="s">
        <v>24</v>
      </c>
      <c r="N980">
        <v>52</v>
      </c>
      <c r="O980" t="str" cm="1">
        <f t="array" ref="O980">_xlfn.IFS(N980&gt;=54,"old",N980&gt;=31,"middle age",N980&gt;=18,"adolsent",N980&lt;18,"invalid")</f>
        <v>middle age</v>
      </c>
      <c r="P980" t="s">
        <v>15</v>
      </c>
    </row>
    <row r="981" spans="3:17" x14ac:dyDescent="0.3">
      <c r="C981">
        <v>29106</v>
      </c>
      <c r="D981" t="s">
        <v>37</v>
      </c>
      <c r="E981" t="s">
        <v>38</v>
      </c>
      <c r="F981" s="3">
        <v>40000</v>
      </c>
      <c r="G981">
        <v>0</v>
      </c>
      <c r="H981" t="s">
        <v>27</v>
      </c>
      <c r="I981" t="s">
        <v>14</v>
      </c>
      <c r="J981" t="s">
        <v>18</v>
      </c>
      <c r="K981">
        <v>2</v>
      </c>
      <c r="L981" t="s">
        <v>26</v>
      </c>
      <c r="M981" t="s">
        <v>32</v>
      </c>
      <c r="N981">
        <v>31</v>
      </c>
      <c r="O981" t="str" cm="1">
        <f t="array" ref="O981">_xlfn.IFS(N981&gt;=54,"old",N981&gt;=31,"middle age",N981&gt;=18,"adolsent",N981&lt;18,"invalid")</f>
        <v>middle age</v>
      </c>
      <c r="P981" t="s">
        <v>15</v>
      </c>
    </row>
    <row r="982" spans="3:17" x14ac:dyDescent="0.3">
      <c r="C982">
        <v>29112</v>
      </c>
      <c r="D982" t="s">
        <v>37</v>
      </c>
      <c r="E982" t="s">
        <v>38</v>
      </c>
      <c r="F982" s="3">
        <v>60000</v>
      </c>
      <c r="G982">
        <v>0</v>
      </c>
      <c r="H982" t="s">
        <v>19</v>
      </c>
      <c r="I982" t="s">
        <v>21</v>
      </c>
      <c r="J982" t="s">
        <v>18</v>
      </c>
      <c r="K982">
        <v>2</v>
      </c>
      <c r="L982" t="s">
        <v>26</v>
      </c>
      <c r="M982" t="s">
        <v>32</v>
      </c>
      <c r="N982">
        <v>30</v>
      </c>
      <c r="O982" t="str" cm="1">
        <f t="array" ref="O982">_xlfn.IFS(N982&gt;=54,"old",N982&gt;=31,"middle age",N982&gt;=18,"adolsent",N982&lt;18,"invalid")</f>
        <v>adolsent</v>
      </c>
      <c r="P982" t="s">
        <v>18</v>
      </c>
    </row>
    <row r="983" spans="3:17" x14ac:dyDescent="0.3">
      <c r="C983">
        <v>29117</v>
      </c>
      <c r="D983" t="s">
        <v>37</v>
      </c>
      <c r="E983" t="s">
        <v>38</v>
      </c>
      <c r="F983" s="3">
        <v>100000</v>
      </c>
      <c r="G983">
        <v>1</v>
      </c>
      <c r="H983" t="s">
        <v>13</v>
      </c>
      <c r="I983" t="s">
        <v>28</v>
      </c>
      <c r="J983" t="s">
        <v>18</v>
      </c>
      <c r="K983">
        <v>3</v>
      </c>
      <c r="L983" t="s">
        <v>16</v>
      </c>
      <c r="M983" t="s">
        <v>24</v>
      </c>
      <c r="N983">
        <v>48</v>
      </c>
      <c r="O983" t="str" cm="1">
        <f t="array" ref="O983">_xlfn.IFS(N983&gt;=54,"old",N983&gt;=31,"middle age",N983&gt;=18,"adolsent",N983&lt;18,"invalid")</f>
        <v>middle age</v>
      </c>
      <c r="P983" t="s">
        <v>18</v>
      </c>
    </row>
    <row r="984" spans="3:17" x14ac:dyDescent="0.3">
      <c r="C984">
        <v>29120</v>
      </c>
      <c r="D984" t="s">
        <v>37</v>
      </c>
      <c r="E984" t="s">
        <v>39</v>
      </c>
      <c r="F984" s="3">
        <v>100000</v>
      </c>
      <c r="G984">
        <v>1</v>
      </c>
      <c r="H984" t="s">
        <v>13</v>
      </c>
      <c r="I984" t="s">
        <v>28</v>
      </c>
      <c r="J984" t="s">
        <v>15</v>
      </c>
      <c r="K984">
        <v>4</v>
      </c>
      <c r="L984" t="s">
        <v>22</v>
      </c>
      <c r="M984" t="s">
        <v>24</v>
      </c>
      <c r="N984">
        <v>48</v>
      </c>
      <c r="O984" t="str" cm="1">
        <f t="array" ref="O984">_xlfn.IFS(N984&gt;=54,"old",N984&gt;=31,"middle age",N984&gt;=18,"adolsent",N984&lt;18,"invalid")</f>
        <v>middle age</v>
      </c>
      <c r="P984" t="s">
        <v>18</v>
      </c>
    </row>
    <row r="985" spans="3:17" x14ac:dyDescent="0.3">
      <c r="C985">
        <v>29132</v>
      </c>
      <c r="D985" t="s">
        <v>37</v>
      </c>
      <c r="E985" t="s">
        <v>39</v>
      </c>
      <c r="F985" s="3">
        <v>40000</v>
      </c>
      <c r="G985">
        <v>0</v>
      </c>
      <c r="H985" t="s">
        <v>13</v>
      </c>
      <c r="I985" t="s">
        <v>21</v>
      </c>
      <c r="J985" t="s">
        <v>15</v>
      </c>
      <c r="K985">
        <v>1</v>
      </c>
      <c r="L985" t="s">
        <v>22</v>
      </c>
      <c r="M985" t="s">
        <v>32</v>
      </c>
      <c r="N985">
        <v>42</v>
      </c>
      <c r="O985" t="str" cm="1">
        <f t="array" ref="O985">_xlfn.IFS(N985&gt;=54,"old",N985&gt;=31,"middle age",N985&gt;=18,"adolsent",N985&lt;18,"invalid")</f>
        <v>middle age</v>
      </c>
      <c r="P985" t="s">
        <v>15</v>
      </c>
    </row>
    <row r="986" spans="3:17" x14ac:dyDescent="0.3">
      <c r="C986">
        <v>29133</v>
      </c>
      <c r="D986" t="s">
        <v>37</v>
      </c>
      <c r="E986" t="s">
        <v>39</v>
      </c>
      <c r="F986" s="3">
        <v>60000</v>
      </c>
      <c r="G986">
        <v>4</v>
      </c>
      <c r="H986" t="s">
        <v>13</v>
      </c>
      <c r="I986" t="s">
        <v>14</v>
      </c>
      <c r="J986" t="s">
        <v>18</v>
      </c>
      <c r="K986">
        <v>2</v>
      </c>
      <c r="L986" t="s">
        <v>16</v>
      </c>
      <c r="M986" t="s">
        <v>32</v>
      </c>
      <c r="N986">
        <v>42</v>
      </c>
      <c r="O986" t="str" cm="1">
        <f t="array" ref="O986">_xlfn.IFS(N986&gt;=54,"old",N986&gt;=31,"middle age",N986&gt;=18,"adolsent",N986&lt;18,"invalid")</f>
        <v>middle age</v>
      </c>
      <c r="P986" t="s">
        <v>18</v>
      </c>
    </row>
    <row r="987" spans="3:17" x14ac:dyDescent="0.3">
      <c r="C987">
        <v>29134</v>
      </c>
      <c r="D987" t="s">
        <v>36</v>
      </c>
      <c r="E987" t="s">
        <v>38</v>
      </c>
      <c r="F987" s="3">
        <v>60000</v>
      </c>
      <c r="G987">
        <v>4</v>
      </c>
      <c r="H987" t="s">
        <v>13</v>
      </c>
      <c r="I987" t="s">
        <v>14</v>
      </c>
      <c r="J987" t="s">
        <v>18</v>
      </c>
      <c r="K987">
        <v>3</v>
      </c>
      <c r="L987" t="s">
        <v>30</v>
      </c>
      <c r="M987" t="s">
        <v>32</v>
      </c>
      <c r="N987">
        <v>42</v>
      </c>
      <c r="O987" t="str" cm="1">
        <f t="array" ref="O987">_xlfn.IFS(N987&gt;=54,"old",N987&gt;=31,"middle age",N987&gt;=18,"adolsent",N987&lt;18,"invalid")</f>
        <v>middle age</v>
      </c>
      <c r="P987" t="s">
        <v>18</v>
      </c>
    </row>
    <row r="988" spans="3:17" x14ac:dyDescent="0.3">
      <c r="C988">
        <v>29143</v>
      </c>
      <c r="D988" t="s">
        <v>37</v>
      </c>
      <c r="E988" t="s">
        <v>39</v>
      </c>
      <c r="F988" s="3">
        <v>60000</v>
      </c>
      <c r="G988">
        <v>1</v>
      </c>
      <c r="H988" t="s">
        <v>13</v>
      </c>
      <c r="I988" t="s">
        <v>21</v>
      </c>
      <c r="J988" t="s">
        <v>18</v>
      </c>
      <c r="K988">
        <v>1</v>
      </c>
      <c r="L988" t="s">
        <v>16</v>
      </c>
      <c r="M988" t="s">
        <v>32</v>
      </c>
      <c r="N988">
        <v>44</v>
      </c>
      <c r="O988" t="str" cm="1">
        <f t="array" ref="O988">_xlfn.IFS(N988&gt;=54,"old",N988&gt;=31,"middle age",N988&gt;=18,"adolsent",N988&lt;18,"invalid")</f>
        <v>middle age</v>
      </c>
      <c r="P988" t="s">
        <v>15</v>
      </c>
    </row>
    <row r="989" spans="3:17" x14ac:dyDescent="0.3">
      <c r="C989">
        <v>29181</v>
      </c>
      <c r="D989" t="s">
        <v>37</v>
      </c>
      <c r="E989" t="s">
        <v>39</v>
      </c>
      <c r="F989" s="3">
        <v>60000</v>
      </c>
      <c r="G989">
        <v>2</v>
      </c>
      <c r="H989" t="s">
        <v>13</v>
      </c>
      <c r="I989" t="s">
        <v>21</v>
      </c>
      <c r="J989" t="s">
        <v>18</v>
      </c>
      <c r="K989">
        <v>1</v>
      </c>
      <c r="L989" t="s">
        <v>16</v>
      </c>
      <c r="M989" t="s">
        <v>24</v>
      </c>
      <c r="N989">
        <v>38</v>
      </c>
      <c r="O989" t="str" cm="1">
        <f t="array" ref="O989">_xlfn.IFS(N989&gt;=54,"old",N989&gt;=31,"middle age",N989&gt;=18,"adolsent",N989&lt;18,"invalid")</f>
        <v>middle age</v>
      </c>
      <c r="P989" t="s">
        <v>15</v>
      </c>
    </row>
    <row r="990" spans="3:17" x14ac:dyDescent="0.3">
      <c r="C990">
        <v>29191</v>
      </c>
      <c r="D990" t="s">
        <v>37</v>
      </c>
      <c r="E990" t="s">
        <v>39</v>
      </c>
      <c r="F990" s="3">
        <v>130000</v>
      </c>
      <c r="G990">
        <v>1</v>
      </c>
      <c r="H990" t="s">
        <v>31</v>
      </c>
      <c r="I990" t="s">
        <v>28</v>
      </c>
      <c r="J990" t="s">
        <v>18</v>
      </c>
      <c r="K990">
        <v>1</v>
      </c>
      <c r="L990" t="s">
        <v>16</v>
      </c>
      <c r="M990" t="s">
        <v>24</v>
      </c>
      <c r="N990">
        <v>36</v>
      </c>
      <c r="O990" t="str" cm="1">
        <f t="array" ref="O990">_xlfn.IFS(N990&gt;=54,"old",N990&gt;=31,"middle age",N990&gt;=18,"adolsent",N990&lt;18,"invalid")</f>
        <v>middle age</v>
      </c>
      <c r="P990" t="s">
        <v>15</v>
      </c>
    </row>
    <row r="991" spans="3:17" x14ac:dyDescent="0.3">
      <c r="C991">
        <v>29231</v>
      </c>
      <c r="D991" t="s">
        <v>37</v>
      </c>
      <c r="E991" t="s">
        <v>38</v>
      </c>
      <c r="F991" s="3">
        <v>80000</v>
      </c>
      <c r="G991">
        <v>4</v>
      </c>
      <c r="H991" t="s">
        <v>19</v>
      </c>
      <c r="I991" t="s">
        <v>21</v>
      </c>
      <c r="J991" t="s">
        <v>18</v>
      </c>
      <c r="K991">
        <v>2</v>
      </c>
      <c r="L991" t="s">
        <v>16</v>
      </c>
      <c r="M991" t="s">
        <v>32</v>
      </c>
      <c r="N991">
        <v>43</v>
      </c>
      <c r="O991" t="str" cm="1">
        <f t="array" ref="O991">_xlfn.IFS(N991&gt;=54,"old",N991&gt;=31,"middle age",N991&gt;=18,"adolsent",N991&lt;18,"invalid")</f>
        <v>middle age</v>
      </c>
      <c r="P991" t="s">
        <v>18</v>
      </c>
    </row>
    <row r="992" spans="3:17" x14ac:dyDescent="0.3">
      <c r="C992">
        <v>29237</v>
      </c>
      <c r="D992" t="s">
        <v>37</v>
      </c>
      <c r="E992" t="s">
        <v>39</v>
      </c>
      <c r="F992" s="3">
        <v>120000</v>
      </c>
      <c r="G992">
        <v>4</v>
      </c>
      <c r="H992" t="s">
        <v>19</v>
      </c>
      <c r="I992" t="s">
        <v>21</v>
      </c>
      <c r="J992" t="s">
        <v>15</v>
      </c>
      <c r="K992">
        <v>3</v>
      </c>
      <c r="L992" t="s">
        <v>23</v>
      </c>
      <c r="M992" t="s">
        <v>32</v>
      </c>
      <c r="N992">
        <v>43</v>
      </c>
      <c r="O992" t="str" cm="1">
        <f t="array" ref="O992">_xlfn.IFS(N992&gt;=54,"old",N992&gt;=31,"middle age",N992&gt;=18,"adolsent",N992&lt;18,"invalid")</f>
        <v>middle age</v>
      </c>
      <c r="P992" t="s">
        <v>15</v>
      </c>
    </row>
    <row r="993" spans="3:16" x14ac:dyDescent="0.3">
      <c r="C993">
        <v>29243</v>
      </c>
      <c r="D993" t="s">
        <v>37</v>
      </c>
      <c r="E993" t="s">
        <v>38</v>
      </c>
      <c r="F993" s="3">
        <v>110000</v>
      </c>
      <c r="G993">
        <v>1</v>
      </c>
      <c r="H993" t="s">
        <v>13</v>
      </c>
      <c r="I993" t="s">
        <v>28</v>
      </c>
      <c r="J993" t="s">
        <v>15</v>
      </c>
      <c r="K993">
        <v>1</v>
      </c>
      <c r="L993" t="s">
        <v>23</v>
      </c>
      <c r="M993" t="s">
        <v>32</v>
      </c>
      <c r="N993">
        <v>43</v>
      </c>
      <c r="O993" t="str" cm="1">
        <f t="array" ref="O993">_xlfn.IFS(N993&gt;=54,"old",N993&gt;=31,"middle age",N993&gt;=18,"adolsent",N993&lt;18,"invalid")</f>
        <v>middle age</v>
      </c>
      <c r="P993" t="s">
        <v>18</v>
      </c>
    </row>
    <row r="994" spans="3:16" x14ac:dyDescent="0.3">
      <c r="C994">
        <v>29255</v>
      </c>
      <c r="D994" t="s">
        <v>37</v>
      </c>
      <c r="E994" t="s">
        <v>38</v>
      </c>
      <c r="F994" s="3">
        <v>80000</v>
      </c>
      <c r="G994">
        <v>3</v>
      </c>
      <c r="H994" t="s">
        <v>19</v>
      </c>
      <c r="I994" t="s">
        <v>21</v>
      </c>
      <c r="J994" t="s">
        <v>18</v>
      </c>
      <c r="K994">
        <v>1</v>
      </c>
      <c r="L994" t="s">
        <v>26</v>
      </c>
      <c r="M994" t="s">
        <v>32</v>
      </c>
      <c r="N994">
        <v>51</v>
      </c>
      <c r="O994" t="str" cm="1">
        <f t="array" ref="O994">_xlfn.IFS(N994&gt;=54,"old",N994&gt;=31,"middle age",N994&gt;=18,"adolsent",N994&lt;18,"invalid")</f>
        <v>middle age</v>
      </c>
      <c r="P994" t="s">
        <v>15</v>
      </c>
    </row>
    <row r="995" spans="3:16" x14ac:dyDescent="0.3">
      <c r="C995">
        <v>29298</v>
      </c>
      <c r="D995" t="s">
        <v>37</v>
      </c>
      <c r="E995" t="s">
        <v>39</v>
      </c>
      <c r="F995" s="3">
        <v>60000</v>
      </c>
      <c r="G995">
        <v>1</v>
      </c>
      <c r="H995" t="s">
        <v>19</v>
      </c>
      <c r="I995" t="s">
        <v>14</v>
      </c>
      <c r="J995" t="s">
        <v>15</v>
      </c>
      <c r="K995">
        <v>1</v>
      </c>
      <c r="L995" t="s">
        <v>23</v>
      </c>
      <c r="M995" t="s">
        <v>24</v>
      </c>
      <c r="N995">
        <v>46</v>
      </c>
      <c r="O995" t="str" cm="1">
        <f t="array" ref="O995">_xlfn.IFS(N995&gt;=54,"old",N995&gt;=31,"middle age",N995&gt;=18,"adolsent",N995&lt;18,"invalid")</f>
        <v>middle age</v>
      </c>
      <c r="P995" t="s">
        <v>15</v>
      </c>
    </row>
    <row r="996" spans="3:16" x14ac:dyDescent="0.3">
      <c r="C996">
        <v>29301</v>
      </c>
      <c r="D996" t="s">
        <v>36</v>
      </c>
      <c r="E996" t="s">
        <v>38</v>
      </c>
      <c r="F996" s="3">
        <v>80000</v>
      </c>
      <c r="G996">
        <v>5</v>
      </c>
      <c r="H996" t="s">
        <v>13</v>
      </c>
      <c r="I996" t="s">
        <v>21</v>
      </c>
      <c r="J996" t="s">
        <v>15</v>
      </c>
      <c r="K996">
        <v>4</v>
      </c>
      <c r="L996" t="s">
        <v>26</v>
      </c>
      <c r="M996" t="s">
        <v>24</v>
      </c>
      <c r="N996">
        <v>40</v>
      </c>
      <c r="O996" t="str" cm="1">
        <f t="array" ref="O996">_xlfn.IFS(N996&gt;=54,"old",N996&gt;=31,"middle age",N996&gt;=18,"adolsent",N996&lt;18,"invalid")</f>
        <v>middle age</v>
      </c>
      <c r="P996" t="s">
        <v>18</v>
      </c>
    </row>
    <row r="997" spans="3:16" x14ac:dyDescent="0.3">
      <c r="C997">
        <v>29337</v>
      </c>
      <c r="D997" t="s">
        <v>37</v>
      </c>
      <c r="E997" t="s">
        <v>38</v>
      </c>
      <c r="F997" s="3">
        <v>30000</v>
      </c>
      <c r="G997">
        <v>2</v>
      </c>
      <c r="H997" t="s">
        <v>19</v>
      </c>
      <c r="I997" t="s">
        <v>20</v>
      </c>
      <c r="J997" t="s">
        <v>15</v>
      </c>
      <c r="K997">
        <v>2</v>
      </c>
      <c r="L997" t="s">
        <v>23</v>
      </c>
      <c r="M997" t="s">
        <v>24</v>
      </c>
      <c r="N997">
        <v>68</v>
      </c>
      <c r="O997" t="str" cm="1">
        <f t="array" ref="O997">_xlfn.IFS(N997&gt;=54,"old",N997&gt;=31,"middle age",N997&gt;=18,"adolsent",N997&lt;18,"invalid")</f>
        <v>old</v>
      </c>
      <c r="P997" t="s">
        <v>18</v>
      </c>
    </row>
    <row r="998" spans="3:16" x14ac:dyDescent="0.3">
      <c r="C998">
        <v>29355</v>
      </c>
      <c r="D998" t="s">
        <v>36</v>
      </c>
      <c r="E998" t="s">
        <v>39</v>
      </c>
      <c r="F998" s="3">
        <v>40000</v>
      </c>
      <c r="G998">
        <v>0</v>
      </c>
      <c r="H998" t="s">
        <v>31</v>
      </c>
      <c r="I998" t="s">
        <v>20</v>
      </c>
      <c r="J998" t="s">
        <v>15</v>
      </c>
      <c r="K998">
        <v>0</v>
      </c>
      <c r="L998" t="s">
        <v>16</v>
      </c>
      <c r="M998" t="s">
        <v>17</v>
      </c>
      <c r="N998">
        <v>37</v>
      </c>
      <c r="O998" t="str" cm="1">
        <f t="array" ref="O998">_xlfn.IFS(N998&gt;=54,"old",N998&gt;=31,"middle age",N998&gt;=18,"adolsent",N998&lt;18,"invalid")</f>
        <v>middle age</v>
      </c>
      <c r="P998" t="s">
        <v>15</v>
      </c>
    </row>
    <row r="999" spans="3:16" x14ac:dyDescent="0.3">
      <c r="C999">
        <v>29380</v>
      </c>
      <c r="D999" t="s">
        <v>36</v>
      </c>
      <c r="E999" t="s">
        <v>39</v>
      </c>
      <c r="F999" s="3">
        <v>20000</v>
      </c>
      <c r="G999">
        <v>3</v>
      </c>
      <c r="H999" t="s">
        <v>27</v>
      </c>
      <c r="I999" t="s">
        <v>25</v>
      </c>
      <c r="J999" t="s">
        <v>15</v>
      </c>
      <c r="K999">
        <v>0</v>
      </c>
      <c r="L999" t="s">
        <v>16</v>
      </c>
      <c r="M999" t="s">
        <v>17</v>
      </c>
      <c r="N999">
        <v>41</v>
      </c>
      <c r="O999" t="str" cm="1">
        <f t="array" ref="O999">_xlfn.IFS(N999&gt;=54,"old",N999&gt;=31,"middle age",N999&gt;=18,"adolsent",N999&lt;18,"invalid")</f>
        <v>middle age</v>
      </c>
      <c r="P999" t="s">
        <v>15</v>
      </c>
    </row>
    <row r="1000" spans="3:16" x14ac:dyDescent="0.3">
      <c r="C1000">
        <v>29424</v>
      </c>
      <c r="D1000" t="s">
        <v>36</v>
      </c>
      <c r="E1000" t="s">
        <v>38</v>
      </c>
      <c r="F1000" s="3">
        <v>10000</v>
      </c>
      <c r="G1000">
        <v>0</v>
      </c>
      <c r="H1000" t="s">
        <v>29</v>
      </c>
      <c r="I1000" t="s">
        <v>25</v>
      </c>
      <c r="J1000" t="s">
        <v>15</v>
      </c>
      <c r="K1000">
        <v>2</v>
      </c>
      <c r="L1000" t="s">
        <v>16</v>
      </c>
      <c r="M1000" t="s">
        <v>17</v>
      </c>
      <c r="N1000">
        <v>32</v>
      </c>
      <c r="O1000" t="str" cm="1">
        <f t="array" ref="O1000">_xlfn.IFS(N1000&gt;=54,"old",N1000&gt;=31,"middle age",N1000&gt;=18,"adolsent",N1000&lt;18,"invalid")</f>
        <v>middle age</v>
      </c>
      <c r="P1000" t="s">
        <v>18</v>
      </c>
    </row>
    <row r="1001" spans="3:16" x14ac:dyDescent="0.3">
      <c r="C1001">
        <v>29447</v>
      </c>
      <c r="D1001" t="s">
        <v>37</v>
      </c>
      <c r="E1001" t="s">
        <v>39</v>
      </c>
      <c r="F1001" s="3">
        <v>10000</v>
      </c>
      <c r="G1001">
        <v>2</v>
      </c>
      <c r="H1001" t="s">
        <v>13</v>
      </c>
      <c r="I1001" t="s">
        <v>20</v>
      </c>
      <c r="J1001" t="s">
        <v>18</v>
      </c>
      <c r="K1001">
        <v>1</v>
      </c>
      <c r="L1001" t="s">
        <v>22</v>
      </c>
      <c r="M1001" t="s">
        <v>17</v>
      </c>
      <c r="N1001">
        <v>68</v>
      </c>
      <c r="O1001" t="str" cm="1">
        <f t="array" ref="O1001">_xlfn.IFS(N1001&gt;=54,"old",N1001&gt;=31,"middle age",N1001&gt;=18,"adolsent",N1001&lt;18,"invalid")</f>
        <v>old</v>
      </c>
      <c r="P1001" t="s">
        <v>18</v>
      </c>
    </row>
  </sheetData>
  <autoFilter ref="C1:P1001" xr:uid="{97BC79E9-F97A-4821-8BCA-2F1B7D2159BC}"/>
  <sortState xmlns:xlrd2="http://schemas.microsoft.com/office/spreadsheetml/2017/richdata2" ref="C2:P1027">
    <sortCondition ref="C1:C102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PIVOT TABLE</vt:lpstr>
      <vt:lpstr>CLEANING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sudhanshuyadav1231@outlook.com</cp:lastModifiedBy>
  <dcterms:created xsi:type="dcterms:W3CDTF">2022-03-18T02:50:57Z</dcterms:created>
  <dcterms:modified xsi:type="dcterms:W3CDTF">2026-10-29T06:22:31Z</dcterms:modified>
</cp:coreProperties>
</file>