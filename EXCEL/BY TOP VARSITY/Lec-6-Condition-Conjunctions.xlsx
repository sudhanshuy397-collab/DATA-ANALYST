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sudha\Downloads\"/>
    </mc:Choice>
  </mc:AlternateContent>
  <xr:revisionPtr revIDLastSave="0" documentId="13_ncr:1_{C17A119A-9526-4303-8F68-175012C92030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1" sheetId="2" r:id="rId1"/>
    <sheet name="2" sheetId="1" r:id="rId2"/>
    <sheet name="3" sheetId="3" r:id="rId3"/>
    <sheet name="4" sheetId="4" r:id="rId4"/>
    <sheet name="5" sheetId="5" r:id="rId5"/>
    <sheet name="6" sheetId="6" r:id="rId6"/>
  </sheets>
  <definedNames>
    <definedName name="_xlnm._FilterDatabase" localSheetId="1" hidden="1">'2'!$F$8:$F$8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2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3" i="5"/>
  <c r="G4" i="5"/>
  <c r="G5" i="5"/>
  <c r="G6" i="5"/>
  <c r="G7" i="5"/>
  <c r="G8" i="5"/>
  <c r="G9" i="5"/>
  <c r="G2" i="5"/>
  <c r="G3" i="4"/>
  <c r="G4" i="4"/>
  <c r="G5" i="4"/>
  <c r="G6" i="4"/>
  <c r="G7" i="4"/>
  <c r="G8" i="4"/>
  <c r="G9" i="4"/>
  <c r="G2" i="4"/>
  <c r="H3" i="3"/>
  <c r="H4" i="3"/>
  <c r="H5" i="3"/>
  <c r="H6" i="3"/>
  <c r="H7" i="3"/>
  <c r="H8" i="3"/>
  <c r="H9" i="3"/>
  <c r="H2" i="3"/>
  <c r="F2" i="1" a="1"/>
  <c r="F3" i="2"/>
  <c r="F4" i="2"/>
  <c r="F5" i="2"/>
  <c r="F6" i="2"/>
  <c r="F7" i="2"/>
  <c r="F8" i="2"/>
  <c r="F9" i="2"/>
  <c r="F2" i="2"/>
  <c r="F3" i="6"/>
  <c r="F4" i="6"/>
  <c r="F5" i="6"/>
  <c r="F6" i="6"/>
  <c r="F7" i="6"/>
  <c r="F8" i="6"/>
  <c r="F9" i="6"/>
  <c r="F2" i="6"/>
  <c r="F3" i="5"/>
  <c r="F4" i="5"/>
  <c r="F5" i="5"/>
  <c r="F6" i="5"/>
  <c r="F7" i="5"/>
  <c r="F8" i="5"/>
  <c r="F9" i="5"/>
  <c r="F2" i="5"/>
  <c r="F2" i="4"/>
  <c r="F8" i="4"/>
  <c r="F3" i="4"/>
  <c r="F4" i="4"/>
  <c r="F5" i="4"/>
  <c r="F6" i="4"/>
  <c r="F7" i="4"/>
  <c r="F9" i="4"/>
  <c r="G3" i="3"/>
  <c r="G4" i="3"/>
  <c r="G5" i="3"/>
  <c r="G6" i="3"/>
  <c r="G7" i="3"/>
  <c r="G8" i="3"/>
  <c r="G9" i="3"/>
  <c r="G2" i="3"/>
  <c r="E2" i="1" a="1"/>
  <c r="E6" i="1" a="1"/>
  <c r="E9" i="1" a="1"/>
  <c r="E3" i="1" a="1"/>
  <c r="E5" i="1" a="1"/>
  <c r="E7" i="1" a="1"/>
  <c r="E8" i="1" a="1"/>
  <c r="E4" i="1" a="1"/>
  <c r="E3" i="2"/>
  <c r="E4" i="2"/>
  <c r="E5" i="2"/>
  <c r="E6" i="2"/>
  <c r="E7" i="2"/>
  <c r="E8" i="2"/>
  <c r="E9" i="2"/>
  <c r="E2" i="2"/>
  <c r="AF2" i="6"/>
  <c r="AF2" i="5"/>
  <c r="AF2" i="4"/>
  <c r="AE2" i="3"/>
  <c r="Y1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<sst xmlns="http://schemas.openxmlformats.org/spreadsheetml/2006/main" count="164" uniqueCount="51">
  <si>
    <t>Student_ID</t>
  </si>
  <si>
    <t>Name</t>
  </si>
  <si>
    <t>Department</t>
  </si>
  <si>
    <t>Exam_Score</t>
  </si>
  <si>
    <t>Result</t>
  </si>
  <si>
    <t>Rahul</t>
  </si>
  <si>
    <t>Sales</t>
  </si>
  <si>
    <r>
      <rPr>
        <b/>
        <sz val="11"/>
        <color rgb="FF000000"/>
        <rFont val="Aptos Narrow"/>
        <scheme val="minor"/>
      </rPr>
      <t xml:space="preserve">1. Pass / Fail
</t>
    </r>
    <r>
      <rPr>
        <sz val="11"/>
        <color rgb="FF000000"/>
        <rFont val="Aptos Narrow"/>
        <scheme val="minor"/>
      </rPr>
      <t>Create a column Result:
Pass if Exam_Score ≥ 40	Else Fail</t>
    </r>
  </si>
  <si>
    <t>Anita</t>
  </si>
  <si>
    <t>Amit</t>
  </si>
  <si>
    <t>HR</t>
  </si>
  <si>
    <t>Neha</t>
  </si>
  <si>
    <t>Rohan</t>
  </si>
  <si>
    <t>Finance</t>
  </si>
  <si>
    <t>Pooja</t>
  </si>
  <si>
    <t>Suresh</t>
  </si>
  <si>
    <t>Kiran</t>
  </si>
  <si>
    <t>Emp_ID</t>
  </si>
  <si>
    <t>Grade</t>
  </si>
  <si>
    <t>2. Grade Calculation</t>
  </si>
  <si>
    <t>Score</t>
  </si>
  <si>
    <t>≥ 80</t>
  </si>
  <si>
    <t>A</t>
  </si>
  <si>
    <t>≥ 60</t>
  </si>
  <si>
    <t>B</t>
  </si>
  <si>
    <t>≥ 40</t>
  </si>
  <si>
    <t>C</t>
  </si>
  <si>
    <t>&lt; 40</t>
  </si>
  <si>
    <t>Fail</t>
  </si>
  <si>
    <t>Experience (Years)</t>
  </si>
  <si>
    <t>Monthly_Sales</t>
  </si>
  <si>
    <t>Target</t>
  </si>
  <si>
    <t>Bonus Eligibility</t>
  </si>
  <si>
    <t>Department = "Sales"</t>
  </si>
  <si>
    <t>AND Monthly_Sales ≥ Target</t>
  </si>
  <si>
    <t>AND Experience ≥ 2</t>
  </si>
  <si>
    <t>Training Required</t>
  </si>
  <si>
    <t>Yes if</t>
  </si>
  <si>
    <t>Exam_Score &lt; 50</t>
  </si>
  <si>
    <t xml:space="preserve">OR </t>
  </si>
  <si>
    <t>Experience &lt; 1</t>
  </si>
  <si>
    <t>Non-Sales Employees</t>
  </si>
  <si>
    <t>TRue if Department is NOT "Sales"</t>
  </si>
  <si>
    <t>Else False</t>
  </si>
  <si>
    <t>Sales_Ratio</t>
  </si>
  <si>
    <t>Create Sales_Ratio</t>
  </si>
  <si>
    <t xml:space="preserve">Target / Monthly_Sales </t>
  </si>
  <si>
    <t>If error (division by zero), show 0</t>
  </si>
  <si>
    <t>RESULT</t>
  </si>
  <si>
    <t>GRADE</t>
  </si>
  <si>
    <t>BONUS MILEGA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</si>
</sst>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" fillId="0" borderId="0" xfId="0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0" borderId="0" xfId="0" applyNumberFormat="1"/>
    <xf numFmtId="2" fontId="0" fillId="0" borderId="1" xfId="0" applyNumberForma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2C9F53-167A-402A-9680-593B8314185B}" name="Table1" displayName="Table1" ref="A1:E9" totalsRowShown="0" headerRowDxfId="9" dataDxfId="7" headerRowBorderDxfId="8" tableBorderDxfId="6" totalsRowBorderDxfId="5">
  <autoFilter ref="A1:E9" xr:uid="{00000000-0001-0000-0000-000000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92A7167-4FF9-4AB5-8BD7-F221CF3750B9}" name="Emp_ID" dataDxfId="4"/>
    <tableColumn id="2" xr3:uid="{41829E26-C977-40E7-8E5F-42107F914194}" name="Name" dataDxfId="3"/>
    <tableColumn id="3" xr3:uid="{0BB8F11B-C4E7-4ADA-AE87-543CE79C12DE}" name="Department" dataDxfId="2"/>
    <tableColumn id="4" xr3:uid="{E7BA22F3-D1B3-463E-8375-7548EC18358B}" name="Exam_Score" dataDxfId="1"/>
    <tableColumn id="5" xr3:uid="{1F21CE8F-7AE7-45EB-95F3-637125CBAC30}" name="Grade" dataDxfId="0">
      <calculatedColumnFormula array="1">_xlfn.IFS(D2&gt;=80,"A",D2&gt;=60,"B",D2&gt;=40,"C",D2&lt;40,"FAIL")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B6B31-9373-46AC-BF41-D3EF8ECCC9CF}">
  <dimension ref="A1:L9"/>
  <sheetViews>
    <sheetView topLeftCell="A138" workbookViewId="0">
      <selection activeCell="F2" sqref="F2:F9"/>
    </sheetView>
  </sheetViews>
  <sheetFormatPr defaultRowHeight="14.4" x14ac:dyDescent="0.3"/>
  <cols>
    <col min="1" max="1" width="10.6640625" bestFit="1" customWidth="1"/>
    <col min="3" max="3" width="11.5546875" bestFit="1" customWidth="1"/>
    <col min="4" max="4" width="17.44140625" bestFit="1" customWidth="1"/>
    <col min="5" max="5" width="13.6640625" bestFit="1" customWidth="1"/>
    <col min="7" max="7" width="11.6640625" bestFit="1" customWidth="1"/>
    <col min="8" max="8" width="16.33203125" customWidth="1"/>
    <col min="10" max="10" width="21.33203125" bestFit="1" customWidth="1"/>
  </cols>
  <sheetData>
    <row r="1" spans="1:1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48</v>
      </c>
    </row>
    <row r="2" spans="1:12" x14ac:dyDescent="0.3">
      <c r="A2" s="4">
        <v>101</v>
      </c>
      <c r="B2" s="4" t="s">
        <v>5</v>
      </c>
      <c r="C2" s="4" t="s">
        <v>6</v>
      </c>
      <c r="D2" s="4">
        <v>65</v>
      </c>
      <c r="E2" s="4" t="str">
        <f>IF(D2&gt;=40,"PASS","FAIL")</f>
        <v>PASS</v>
      </c>
      <c r="F2" t="str">
        <f>IF(D2&gt;=40,"PASS","FAIL")</f>
        <v>PASS</v>
      </c>
      <c r="H2" s="20" t="s">
        <v>7</v>
      </c>
      <c r="I2" s="21"/>
      <c r="J2" s="21"/>
      <c r="K2" s="21"/>
      <c r="L2" s="21"/>
    </row>
    <row r="3" spans="1:12" x14ac:dyDescent="0.3">
      <c r="A3" s="4">
        <v>102</v>
      </c>
      <c r="B3" s="4" t="s">
        <v>8</v>
      </c>
      <c r="C3" s="4" t="s">
        <v>6</v>
      </c>
      <c r="D3" s="4">
        <v>82</v>
      </c>
      <c r="E3" s="4" t="str">
        <f t="shared" ref="E3:E9" si="0">IF(D3&gt;=40,"PASS","FAIL")</f>
        <v>PASS</v>
      </c>
      <c r="F3" t="str">
        <f t="shared" ref="F3:F9" si="1">IF(D3&gt;=40,"PASS","FAIL")</f>
        <v>PASS</v>
      </c>
      <c r="H3" s="21"/>
      <c r="I3" s="21"/>
      <c r="J3" s="21"/>
      <c r="K3" s="21"/>
      <c r="L3" s="21"/>
    </row>
    <row r="4" spans="1:12" x14ac:dyDescent="0.3">
      <c r="A4" s="4">
        <v>103</v>
      </c>
      <c r="B4" s="4" t="s">
        <v>9</v>
      </c>
      <c r="C4" s="4" t="s">
        <v>10</v>
      </c>
      <c r="D4" s="4">
        <v>55</v>
      </c>
      <c r="E4" s="4" t="str">
        <f t="shared" si="0"/>
        <v>PASS</v>
      </c>
      <c r="F4" t="str">
        <f t="shared" si="1"/>
        <v>PASS</v>
      </c>
      <c r="H4" s="21"/>
      <c r="I4" s="21"/>
      <c r="J4" s="21"/>
      <c r="K4" s="21"/>
      <c r="L4" s="21"/>
    </row>
    <row r="5" spans="1:12" x14ac:dyDescent="0.3">
      <c r="A5" s="4">
        <v>104</v>
      </c>
      <c r="B5" s="4" t="s">
        <v>11</v>
      </c>
      <c r="C5" s="4" t="s">
        <v>6</v>
      </c>
      <c r="D5" s="4">
        <v>38</v>
      </c>
      <c r="E5" s="4" t="str">
        <f t="shared" si="0"/>
        <v>FAIL</v>
      </c>
      <c r="F5" t="str">
        <f t="shared" si="1"/>
        <v>FAIL</v>
      </c>
      <c r="H5" s="21"/>
      <c r="I5" s="21"/>
      <c r="J5" s="21"/>
      <c r="K5" s="21"/>
      <c r="L5" s="21"/>
    </row>
    <row r="6" spans="1:12" x14ac:dyDescent="0.3">
      <c r="A6" s="4">
        <v>105</v>
      </c>
      <c r="B6" s="4" t="s">
        <v>12</v>
      </c>
      <c r="C6" s="4" t="s">
        <v>13</v>
      </c>
      <c r="D6" s="4">
        <v>91</v>
      </c>
      <c r="E6" s="4" t="str">
        <f t="shared" si="0"/>
        <v>PASS</v>
      </c>
      <c r="F6" t="str">
        <f t="shared" si="1"/>
        <v>PASS</v>
      </c>
    </row>
    <row r="7" spans="1:12" x14ac:dyDescent="0.3">
      <c r="A7" s="4">
        <v>106</v>
      </c>
      <c r="B7" s="4" t="s">
        <v>14</v>
      </c>
      <c r="C7" s="4" t="s">
        <v>6</v>
      </c>
      <c r="D7" s="4">
        <v>74</v>
      </c>
      <c r="E7" s="4" t="str">
        <f t="shared" si="0"/>
        <v>PASS</v>
      </c>
      <c r="F7" t="str">
        <f t="shared" si="1"/>
        <v>PASS</v>
      </c>
    </row>
    <row r="8" spans="1:12" x14ac:dyDescent="0.3">
      <c r="A8" s="4">
        <v>107</v>
      </c>
      <c r="B8" s="4" t="s">
        <v>15</v>
      </c>
      <c r="C8" s="4" t="s">
        <v>10</v>
      </c>
      <c r="D8" s="4">
        <v>44</v>
      </c>
      <c r="E8" s="4" t="str">
        <f t="shared" si="0"/>
        <v>PASS</v>
      </c>
      <c r="F8" t="str">
        <f t="shared" si="1"/>
        <v>PASS</v>
      </c>
    </row>
    <row r="9" spans="1:12" x14ac:dyDescent="0.3">
      <c r="A9" s="4">
        <v>108</v>
      </c>
      <c r="B9" s="4" t="s">
        <v>16</v>
      </c>
      <c r="C9" s="4" t="s">
        <v>13</v>
      </c>
      <c r="D9" s="4">
        <v>59</v>
      </c>
      <c r="E9" s="4" t="str">
        <f t="shared" si="0"/>
        <v>PASS</v>
      </c>
      <c r="F9" t="str">
        <f t="shared" si="1"/>
        <v>PASS</v>
      </c>
    </row>
  </sheetData>
  <mergeCells count="1">
    <mergeCell ref="H2:L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opLeftCell="B1" workbookViewId="0">
      <selection activeCell="H12" sqref="H12"/>
    </sheetView>
  </sheetViews>
  <sheetFormatPr defaultRowHeight="14.4" x14ac:dyDescent="0.3"/>
  <cols>
    <col min="1" max="1" width="9.88671875" bestFit="1" customWidth="1"/>
    <col min="3" max="3" width="13.88671875" bestFit="1" customWidth="1"/>
    <col min="4" max="4" width="14" bestFit="1" customWidth="1"/>
    <col min="5" max="5" width="17.44140625" bestFit="1" customWidth="1"/>
    <col min="6" max="6" width="13.6640625" bestFit="1" customWidth="1"/>
    <col min="7" max="7" width="11.6640625" bestFit="1" customWidth="1"/>
    <col min="8" max="8" width="16.33203125" customWidth="1"/>
    <col min="10" max="10" width="21.33203125" bestFit="1" customWidth="1"/>
  </cols>
  <sheetData>
    <row r="1" spans="1:25" x14ac:dyDescent="0.3">
      <c r="A1" s="11" t="s">
        <v>17</v>
      </c>
      <c r="B1" s="12" t="s">
        <v>1</v>
      </c>
      <c r="C1" s="12" t="s">
        <v>2</v>
      </c>
      <c r="D1" s="12" t="s">
        <v>3</v>
      </c>
      <c r="E1" s="13" t="s">
        <v>18</v>
      </c>
      <c r="F1" s="22" t="s">
        <v>49</v>
      </c>
      <c r="Y1" t="str" cm="1">
        <f t="array" ref="Y1">_xlfn.IFS(D2&gt;=80,"A",D2&gt;=60,"B",D2&gt;=40,"C",D2&lt;40,"Fail")</f>
        <v>A</v>
      </c>
    </row>
    <row r="2" spans="1:25" x14ac:dyDescent="0.3">
      <c r="A2" s="9">
        <v>102</v>
      </c>
      <c r="B2" s="4" t="s">
        <v>8</v>
      </c>
      <c r="C2" s="4" t="s">
        <v>6</v>
      </c>
      <c r="D2" s="4">
        <v>82</v>
      </c>
      <c r="E2" s="10" t="str" cm="1">
        <f t="array" ref="E2">_xlfn.IFS(D2&gt;=80,"A",D2&gt;=60,"B",D2&gt;=40,"C",D2&lt;40,"FAIL")</f>
        <v>A</v>
      </c>
      <c r="F2" s="22" t="str" cm="1">
        <f t="array" ref="F2:F9">_xlfn.IFS(Table1[Exam_Score]&gt;=80,"A",Table1[Exam_Score]&gt;=60,"B",Table1[Exam_Score]&gt;=40,"C",Table1[Exam_Score]&lt;40,"FAIL")</f>
        <v>A</v>
      </c>
      <c r="J2" s="6" t="s">
        <v>19</v>
      </c>
    </row>
    <row r="3" spans="1:25" x14ac:dyDescent="0.3">
      <c r="A3" s="9">
        <v>105</v>
      </c>
      <c r="B3" s="4" t="s">
        <v>12</v>
      </c>
      <c r="C3" s="4" t="s">
        <v>13</v>
      </c>
      <c r="D3" s="4">
        <v>91</v>
      </c>
      <c r="E3" s="10" t="str" cm="1">
        <f t="array" ref="E3">_xlfn.IFS(D3&gt;=80,"A",D3&gt;=60,"B",D3&gt;=40,"C",D3&lt;40,"FAIL")</f>
        <v>A</v>
      </c>
      <c r="F3" s="22" t="str">
        <v>A</v>
      </c>
      <c r="I3" s="3"/>
      <c r="J3" s="3"/>
      <c r="K3" s="3"/>
      <c r="L3" s="3"/>
    </row>
    <row r="4" spans="1:25" x14ac:dyDescent="0.3">
      <c r="A4" s="9">
        <v>101</v>
      </c>
      <c r="B4" s="4" t="s">
        <v>5</v>
      </c>
      <c r="C4" s="4" t="s">
        <v>6</v>
      </c>
      <c r="D4" s="4">
        <v>65</v>
      </c>
      <c r="E4" s="10" t="str" cm="1">
        <f t="array" ref="E4">_xlfn.IFS(D4&gt;=80,"A",D4&gt;=60,"B",D4&gt;=40,"C",D4&lt;40,"FAIL")</f>
        <v>B</v>
      </c>
      <c r="F4" s="22" t="str">
        <v>B</v>
      </c>
      <c r="H4" s="3"/>
      <c r="I4" s="3"/>
      <c r="J4" s="5" t="s">
        <v>20</v>
      </c>
      <c r="K4" s="5" t="s">
        <v>18</v>
      </c>
      <c r="L4" s="3"/>
    </row>
    <row r="5" spans="1:25" x14ac:dyDescent="0.3">
      <c r="A5" s="9">
        <v>106</v>
      </c>
      <c r="B5" s="4" t="s">
        <v>14</v>
      </c>
      <c r="C5" s="4" t="s">
        <v>6</v>
      </c>
      <c r="D5" s="4">
        <v>74</v>
      </c>
      <c r="E5" s="10" t="str" cm="1">
        <f t="array" ref="E5">_xlfn.IFS(D5&gt;=80,"A",D5&gt;=60,"B",D5&gt;=40,"C",D5&lt;40,"FAIL")</f>
        <v>B</v>
      </c>
      <c r="F5" s="22" t="str">
        <v>B</v>
      </c>
      <c r="H5" s="3"/>
      <c r="I5" s="3"/>
      <c r="J5" s="4" t="s">
        <v>21</v>
      </c>
      <c r="K5" s="4" t="s">
        <v>22</v>
      </c>
      <c r="L5" s="3"/>
    </row>
    <row r="6" spans="1:25" x14ac:dyDescent="0.3">
      <c r="A6" s="9">
        <v>103</v>
      </c>
      <c r="B6" s="4" t="s">
        <v>9</v>
      </c>
      <c r="C6" s="4" t="s">
        <v>10</v>
      </c>
      <c r="D6" s="4">
        <v>55</v>
      </c>
      <c r="E6" s="10" t="str" cm="1">
        <f t="array" ref="E6">_xlfn.IFS(D6&gt;=80,"A",D6&gt;=60,"B",D6&gt;=40,"C",D6&lt;40,"FAIL")</f>
        <v>C</v>
      </c>
      <c r="F6" s="22" t="str">
        <v>C</v>
      </c>
      <c r="H6" s="3"/>
      <c r="I6" s="3"/>
      <c r="J6" s="4" t="s">
        <v>23</v>
      </c>
      <c r="K6" s="4" t="s">
        <v>24</v>
      </c>
      <c r="L6" s="3"/>
    </row>
    <row r="7" spans="1:25" x14ac:dyDescent="0.3">
      <c r="A7" s="9">
        <v>107</v>
      </c>
      <c r="B7" s="4" t="s">
        <v>15</v>
      </c>
      <c r="C7" s="4" t="s">
        <v>10</v>
      </c>
      <c r="D7" s="4">
        <v>44</v>
      </c>
      <c r="E7" s="10" t="str" cm="1">
        <f t="array" ref="E7">_xlfn.IFS(D7&gt;=80,"A",D7&gt;=60,"B",D7&gt;=40,"C",D7&lt;40,"FAIL")</f>
        <v>C</v>
      </c>
      <c r="F7" s="22" t="str">
        <v>C</v>
      </c>
      <c r="J7" s="4" t="s">
        <v>25</v>
      </c>
      <c r="K7" s="4" t="s">
        <v>26</v>
      </c>
    </row>
    <row r="8" spans="1:25" x14ac:dyDescent="0.3">
      <c r="A8" s="9">
        <v>108</v>
      </c>
      <c r="B8" s="4" t="s">
        <v>16</v>
      </c>
      <c r="C8" s="4" t="s">
        <v>13</v>
      </c>
      <c r="D8" s="4">
        <v>59</v>
      </c>
      <c r="E8" s="10" t="str" cm="1">
        <f t="array" ref="E8">_xlfn.IFS(D8&gt;=80,"A",D8&gt;=60,"B",D8&gt;=40,"C",D8&lt;40,"FAIL")</f>
        <v>C</v>
      </c>
      <c r="F8" s="22" t="str">
        <v>C</v>
      </c>
      <c r="J8" s="4" t="s">
        <v>27</v>
      </c>
      <c r="K8" s="4" t="s">
        <v>28</v>
      </c>
    </row>
    <row r="9" spans="1:25" x14ac:dyDescent="0.3">
      <c r="A9" s="14">
        <v>104</v>
      </c>
      <c r="B9" s="15" t="s">
        <v>11</v>
      </c>
      <c r="C9" s="15" t="s">
        <v>6</v>
      </c>
      <c r="D9" s="15">
        <v>38</v>
      </c>
      <c r="E9" s="16" t="str" cm="1">
        <f t="array" ref="E9">_xlfn.IFS(D9&gt;=80,"A",D9&gt;=60,"B",D9&gt;=40,"C",D9&lt;40,"FAIL")</f>
        <v>FAIL</v>
      </c>
      <c r="F9" s="22" t="str">
        <v>FAIL</v>
      </c>
    </row>
  </sheetData>
  <autoFilter ref="F8" xr:uid="{00000000-0001-0000-0000-000000000000}"/>
  <sortState xmlns:xlrd2="http://schemas.microsoft.com/office/spreadsheetml/2017/richdata2" ref="A2:E9">
    <sortCondition ref="A2:A9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4E1D-20DD-446E-B296-782AA265A28A}">
  <dimension ref="A1:AE13"/>
  <sheetViews>
    <sheetView workbookViewId="0">
      <selection activeCell="H2" sqref="H2:H9"/>
    </sheetView>
  </sheetViews>
  <sheetFormatPr defaultRowHeight="14.4" x14ac:dyDescent="0.3"/>
  <cols>
    <col min="3" max="3" width="11.5546875" bestFit="1" customWidth="1"/>
    <col min="4" max="4" width="17.44140625" bestFit="1" customWidth="1"/>
    <col min="5" max="5" width="13.6640625" bestFit="1" customWidth="1"/>
    <col min="7" max="7" width="42" customWidth="1"/>
    <col min="8" max="8" width="13.88671875" bestFit="1" customWidth="1"/>
    <col min="9" max="9" width="24.5546875" bestFit="1" customWidth="1"/>
  </cols>
  <sheetData>
    <row r="1" spans="1:31" x14ac:dyDescent="0.3">
      <c r="A1" s="5" t="s">
        <v>17</v>
      </c>
      <c r="B1" s="5" t="s">
        <v>1</v>
      </c>
      <c r="C1" s="5" t="s">
        <v>2</v>
      </c>
      <c r="D1" s="5" t="s">
        <v>29</v>
      </c>
      <c r="E1" s="5" t="s">
        <v>30</v>
      </c>
      <c r="F1" s="5" t="s">
        <v>31</v>
      </c>
      <c r="G1" s="5" t="s">
        <v>32</v>
      </c>
      <c r="H1" s="23" t="s">
        <v>50</v>
      </c>
    </row>
    <row r="2" spans="1:31" ht="15.75" customHeight="1" x14ac:dyDescent="0.3">
      <c r="A2" s="4">
        <v>101</v>
      </c>
      <c r="B2" s="4" t="s">
        <v>5</v>
      </c>
      <c r="C2" s="4" t="s">
        <v>6</v>
      </c>
      <c r="D2" s="4">
        <v>1</v>
      </c>
      <c r="E2" s="4">
        <v>35000</v>
      </c>
      <c r="F2" s="4">
        <v>40000</v>
      </c>
      <c r="G2" s="7" t="str">
        <f>IF(AND(C2="SALES",E2&gt;=F2,D2&gt;=2),"YES","NO")</f>
        <v>NO</v>
      </c>
      <c r="H2" t="str">
        <f>IF(AND(C2="SALES",E2&gt;=F2,D2&gt;=2),"YES","NO")</f>
        <v>NO</v>
      </c>
      <c r="I2" s="1" t="s">
        <v>32</v>
      </c>
      <c r="AE2" t="str">
        <f>IF(AND(C2="Sales",E2&gt;=F2,D2&gt;=2),"Yes","NA")</f>
        <v>NA</v>
      </c>
    </row>
    <row r="3" spans="1:31" x14ac:dyDescent="0.3">
      <c r="A3" s="4">
        <v>102</v>
      </c>
      <c r="B3" s="4" t="s">
        <v>8</v>
      </c>
      <c r="C3" s="4" t="s">
        <v>6</v>
      </c>
      <c r="D3" s="4">
        <v>4</v>
      </c>
      <c r="E3" s="4">
        <v>52000</v>
      </c>
      <c r="F3" s="4">
        <v>50000</v>
      </c>
      <c r="G3" s="7" t="str">
        <f t="shared" ref="G3:G9" si="0">IF(AND(C3="SALES",E3&gt;=F3,D3&gt;=2),"YES","NO")</f>
        <v>YES</v>
      </c>
      <c r="H3" t="str">
        <f t="shared" ref="H3:H9" si="1">IF(AND(C3="SALES",E3&gt;=F3,D3&gt;=2),"YES","NO")</f>
        <v>YES</v>
      </c>
      <c r="I3" t="s">
        <v>33</v>
      </c>
    </row>
    <row r="4" spans="1:31" x14ac:dyDescent="0.3">
      <c r="A4" s="4">
        <v>103</v>
      </c>
      <c r="B4" s="4" t="s">
        <v>9</v>
      </c>
      <c r="C4" s="4" t="s">
        <v>10</v>
      </c>
      <c r="D4" s="4">
        <v>8</v>
      </c>
      <c r="E4" s="4">
        <v>0</v>
      </c>
      <c r="F4" s="4">
        <v>30000</v>
      </c>
      <c r="G4" s="7" t="str">
        <f t="shared" si="0"/>
        <v>NO</v>
      </c>
      <c r="H4" t="str">
        <f t="shared" si="1"/>
        <v>NO</v>
      </c>
      <c r="I4" t="s">
        <v>34</v>
      </c>
    </row>
    <row r="5" spans="1:31" x14ac:dyDescent="0.3">
      <c r="A5" s="4">
        <v>104</v>
      </c>
      <c r="B5" s="4" t="s">
        <v>11</v>
      </c>
      <c r="C5" s="4" t="s">
        <v>6</v>
      </c>
      <c r="D5" s="4">
        <v>0.5</v>
      </c>
      <c r="E5" s="4">
        <v>15000</v>
      </c>
      <c r="F5" s="4">
        <v>20000</v>
      </c>
      <c r="G5" s="7" t="str">
        <f t="shared" si="0"/>
        <v>NO</v>
      </c>
      <c r="H5" t="str">
        <f t="shared" si="1"/>
        <v>NO</v>
      </c>
      <c r="I5" t="s">
        <v>35</v>
      </c>
    </row>
    <row r="6" spans="1:31" x14ac:dyDescent="0.3">
      <c r="A6" s="4">
        <v>105</v>
      </c>
      <c r="B6" s="4" t="s">
        <v>12</v>
      </c>
      <c r="C6" s="4" t="s">
        <v>13</v>
      </c>
      <c r="D6" s="4">
        <v>15</v>
      </c>
      <c r="E6" s="4">
        <v>70000</v>
      </c>
      <c r="F6" s="4">
        <v>60000</v>
      </c>
      <c r="G6" s="7" t="str">
        <f t="shared" si="0"/>
        <v>NO</v>
      </c>
      <c r="H6" t="str">
        <f t="shared" si="1"/>
        <v>NO</v>
      </c>
    </row>
    <row r="7" spans="1:31" x14ac:dyDescent="0.3">
      <c r="A7" s="4">
        <v>106</v>
      </c>
      <c r="B7" s="4" t="s">
        <v>14</v>
      </c>
      <c r="C7" s="4" t="s">
        <v>6</v>
      </c>
      <c r="D7" s="4">
        <v>3</v>
      </c>
      <c r="E7" s="4">
        <v>48000</v>
      </c>
      <c r="F7" s="4">
        <v>50000</v>
      </c>
      <c r="G7" s="7" t="str">
        <f t="shared" si="0"/>
        <v>NO</v>
      </c>
      <c r="H7" t="str">
        <f t="shared" si="1"/>
        <v>NO</v>
      </c>
    </row>
    <row r="8" spans="1:31" x14ac:dyDescent="0.3">
      <c r="A8" s="4">
        <v>107</v>
      </c>
      <c r="B8" s="4" t="s">
        <v>15</v>
      </c>
      <c r="C8" s="4" t="s">
        <v>10</v>
      </c>
      <c r="D8" s="4">
        <v>6</v>
      </c>
      <c r="E8" s="4">
        <v>0</v>
      </c>
      <c r="F8" s="4">
        <v>25000</v>
      </c>
      <c r="G8" s="7" t="str">
        <f t="shared" si="0"/>
        <v>NO</v>
      </c>
      <c r="H8" t="str">
        <f t="shared" si="1"/>
        <v>NO</v>
      </c>
    </row>
    <row r="9" spans="1:31" x14ac:dyDescent="0.3">
      <c r="A9" s="4">
        <v>108</v>
      </c>
      <c r="B9" s="4" t="s">
        <v>16</v>
      </c>
      <c r="C9" s="4" t="s">
        <v>13</v>
      </c>
      <c r="D9" s="4">
        <v>2</v>
      </c>
      <c r="E9" s="4">
        <v>30000</v>
      </c>
      <c r="F9" s="4">
        <v>30000</v>
      </c>
      <c r="G9" s="7" t="str">
        <f t="shared" si="0"/>
        <v>NO</v>
      </c>
      <c r="H9" t="str">
        <f t="shared" si="1"/>
        <v>NO</v>
      </c>
    </row>
    <row r="13" spans="1:31" x14ac:dyDescent="0.3">
      <c r="G1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E159-1DD5-4E2A-B898-16986E09B75B}">
  <dimension ref="A1:AF13"/>
  <sheetViews>
    <sheetView workbookViewId="0">
      <selection activeCell="G12" sqref="G12"/>
    </sheetView>
  </sheetViews>
  <sheetFormatPr defaultRowHeight="14.4" x14ac:dyDescent="0.3"/>
  <cols>
    <col min="3" max="3" width="11.5546875" bestFit="1" customWidth="1"/>
    <col min="4" max="4" width="17.44140625" bestFit="1" customWidth="1"/>
    <col min="5" max="5" width="13.6640625" bestFit="1" customWidth="1"/>
    <col min="6" max="6" width="37.44140625" customWidth="1"/>
    <col min="7" max="7" width="15.5546875" bestFit="1" customWidth="1"/>
    <col min="10" max="10" width="24.5546875" bestFit="1" customWidth="1"/>
  </cols>
  <sheetData>
    <row r="1" spans="1:32" x14ac:dyDescent="0.3">
      <c r="A1" s="5" t="s">
        <v>17</v>
      </c>
      <c r="B1" s="5" t="s">
        <v>1</v>
      </c>
      <c r="C1" s="5" t="s">
        <v>2</v>
      </c>
      <c r="D1" s="5" t="s">
        <v>29</v>
      </c>
      <c r="E1" s="5" t="s">
        <v>3</v>
      </c>
      <c r="F1" s="5" t="s">
        <v>36</v>
      </c>
      <c r="G1" s="5" t="s">
        <v>36</v>
      </c>
    </row>
    <row r="2" spans="1:32" x14ac:dyDescent="0.3">
      <c r="A2" s="4">
        <v>101</v>
      </c>
      <c r="B2" s="4" t="s">
        <v>5</v>
      </c>
      <c r="C2" s="4" t="s">
        <v>6</v>
      </c>
      <c r="D2" s="4">
        <v>1</v>
      </c>
      <c r="E2" s="4">
        <v>65</v>
      </c>
      <c r="F2" s="7" t="str">
        <f>IF(OR(E2&lt;50,D2&lt;1),"YES","NO")</f>
        <v>NO</v>
      </c>
      <c r="G2" t="str">
        <f>IF(OR(E2&lt;50,D2&lt;1),"YES","NO")</f>
        <v>NO</v>
      </c>
      <c r="J2" s="1" t="s">
        <v>36</v>
      </c>
      <c r="AF2" t="str">
        <f>IF(OR(E2&lt;50,D2&lt;1),"YES","NO")</f>
        <v>NO</v>
      </c>
    </row>
    <row r="3" spans="1:32" x14ac:dyDescent="0.3">
      <c r="A3" s="4">
        <v>102</v>
      </c>
      <c r="B3" s="4" t="s">
        <v>8</v>
      </c>
      <c r="C3" s="4" t="s">
        <v>6</v>
      </c>
      <c r="D3" s="4">
        <v>4</v>
      </c>
      <c r="E3" s="4">
        <v>82</v>
      </c>
      <c r="F3" s="7" t="str">
        <f t="shared" ref="F3:F9" si="0">IF(OR(E3&lt;50,D3&lt;1),"YES","NO")</f>
        <v>NO</v>
      </c>
      <c r="G3" t="str">
        <f t="shared" ref="G3:G9" si="1">IF(OR(E3&lt;50,D3&lt;1),"YES","NO")</f>
        <v>NO</v>
      </c>
      <c r="J3" t="s">
        <v>37</v>
      </c>
    </row>
    <row r="4" spans="1:32" x14ac:dyDescent="0.3">
      <c r="A4" s="4">
        <v>103</v>
      </c>
      <c r="B4" s="4" t="s">
        <v>9</v>
      </c>
      <c r="C4" s="4" t="s">
        <v>10</v>
      </c>
      <c r="D4" s="4">
        <v>8</v>
      </c>
      <c r="E4" s="4">
        <v>55</v>
      </c>
      <c r="F4" s="7" t="str">
        <f t="shared" si="0"/>
        <v>NO</v>
      </c>
      <c r="G4" t="str">
        <f t="shared" si="1"/>
        <v>NO</v>
      </c>
      <c r="J4" t="s">
        <v>38</v>
      </c>
    </row>
    <row r="5" spans="1:32" x14ac:dyDescent="0.3">
      <c r="A5" s="4">
        <v>104</v>
      </c>
      <c r="B5" s="4" t="s">
        <v>11</v>
      </c>
      <c r="C5" s="4" t="s">
        <v>6</v>
      </c>
      <c r="D5" s="4">
        <v>0.5</v>
      </c>
      <c r="E5" s="17">
        <v>38</v>
      </c>
      <c r="F5" s="7" t="str">
        <f t="shared" si="0"/>
        <v>YES</v>
      </c>
      <c r="G5" t="str">
        <f t="shared" si="1"/>
        <v>YES</v>
      </c>
      <c r="J5" t="s">
        <v>39</v>
      </c>
    </row>
    <row r="6" spans="1:32" x14ac:dyDescent="0.3">
      <c r="A6" s="4">
        <v>105</v>
      </c>
      <c r="B6" s="4" t="s">
        <v>12</v>
      </c>
      <c r="C6" s="4" t="s">
        <v>13</v>
      </c>
      <c r="D6" s="4">
        <v>15</v>
      </c>
      <c r="E6" s="4">
        <v>91</v>
      </c>
      <c r="F6" s="7" t="str">
        <f t="shared" si="0"/>
        <v>NO</v>
      </c>
      <c r="G6" t="str">
        <f t="shared" si="1"/>
        <v>NO</v>
      </c>
      <c r="J6" s="8" t="s">
        <v>40</v>
      </c>
    </row>
    <row r="7" spans="1:32" x14ac:dyDescent="0.3">
      <c r="A7" s="4">
        <v>106</v>
      </c>
      <c r="B7" s="4" t="s">
        <v>14</v>
      </c>
      <c r="C7" s="4" t="s">
        <v>6</v>
      </c>
      <c r="D7" s="4">
        <v>3</v>
      </c>
      <c r="E7" s="4">
        <v>74</v>
      </c>
      <c r="F7" s="7" t="str">
        <f t="shared" si="0"/>
        <v>NO</v>
      </c>
      <c r="G7" t="str">
        <f t="shared" si="1"/>
        <v>NO</v>
      </c>
    </row>
    <row r="8" spans="1:32" x14ac:dyDescent="0.3">
      <c r="A8" s="4">
        <v>107</v>
      </c>
      <c r="B8" s="4" t="s">
        <v>15</v>
      </c>
      <c r="C8" s="4" t="s">
        <v>10</v>
      </c>
      <c r="D8" s="4">
        <v>6</v>
      </c>
      <c r="E8" s="17">
        <v>44</v>
      </c>
      <c r="F8" s="7" t="str">
        <f>IF(OR(E8&lt;50,D8&lt;1),"YES","NO")</f>
        <v>YES</v>
      </c>
      <c r="G8" t="str">
        <f t="shared" si="1"/>
        <v>YES</v>
      </c>
    </row>
    <row r="9" spans="1:32" x14ac:dyDescent="0.3">
      <c r="A9" s="4">
        <v>108</v>
      </c>
      <c r="B9" s="4" t="s">
        <v>16</v>
      </c>
      <c r="C9" s="4" t="s">
        <v>13</v>
      </c>
      <c r="D9" s="4">
        <v>2</v>
      </c>
      <c r="E9" s="4">
        <v>59</v>
      </c>
      <c r="F9" s="7" t="str">
        <f t="shared" si="0"/>
        <v>NO</v>
      </c>
      <c r="G9" t="str">
        <f t="shared" si="1"/>
        <v>NO</v>
      </c>
    </row>
    <row r="13" spans="1:32" x14ac:dyDescent="0.3">
      <c r="F1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520F-66C6-4655-A96B-6084D1D0F286}">
  <dimension ref="A1:AF13"/>
  <sheetViews>
    <sheetView workbookViewId="0">
      <selection activeCell="G2" sqref="G2:G9"/>
    </sheetView>
  </sheetViews>
  <sheetFormatPr defaultRowHeight="14.4" x14ac:dyDescent="0.3"/>
  <cols>
    <col min="1" max="1" width="7.5546875" bestFit="1" customWidth="1"/>
    <col min="3" max="3" width="11.5546875" bestFit="1" customWidth="1"/>
    <col min="4" max="4" width="17.44140625" bestFit="1" customWidth="1"/>
    <col min="5" max="5" width="13.6640625" bestFit="1" customWidth="1"/>
    <col min="6" max="6" width="20.109375" bestFit="1" customWidth="1"/>
    <col min="7" max="7" width="19.21875" bestFit="1" customWidth="1"/>
    <col min="10" max="10" width="29.6640625" bestFit="1" customWidth="1"/>
  </cols>
  <sheetData>
    <row r="1" spans="1:32" x14ac:dyDescent="0.3">
      <c r="A1" s="5" t="s">
        <v>17</v>
      </c>
      <c r="B1" s="5" t="s">
        <v>1</v>
      </c>
      <c r="C1" s="5" t="s">
        <v>2</v>
      </c>
      <c r="D1" s="5" t="s">
        <v>29</v>
      </c>
      <c r="E1" s="5" t="s">
        <v>3</v>
      </c>
      <c r="F1" s="5" t="s">
        <v>41</v>
      </c>
      <c r="G1" s="5" t="s">
        <v>41</v>
      </c>
    </row>
    <row r="2" spans="1:32" ht="16.5" customHeight="1" x14ac:dyDescent="0.3">
      <c r="A2" s="4">
        <v>101</v>
      </c>
      <c r="B2" s="4" t="s">
        <v>5</v>
      </c>
      <c r="C2" s="4" t="s">
        <v>6</v>
      </c>
      <c r="D2" s="4">
        <v>1</v>
      </c>
      <c r="E2" s="4">
        <v>65</v>
      </c>
      <c r="F2" s="7" t="str">
        <f>IF(NOT(C2="SALES"),"TRUE","FALES")</f>
        <v>FALES</v>
      </c>
      <c r="G2" t="str">
        <f>IF(NOT(C2="SALES"),"TRUE","FALSE")</f>
        <v>FALSE</v>
      </c>
      <c r="J2" s="1" t="s">
        <v>41</v>
      </c>
      <c r="AF2" t="str">
        <f>IF(OR(E2&lt;50,D2&lt;1),"YES","NO")</f>
        <v>NO</v>
      </c>
    </row>
    <row r="3" spans="1:32" x14ac:dyDescent="0.3">
      <c r="A3" s="4">
        <v>102</v>
      </c>
      <c r="B3" s="4" t="s">
        <v>8</v>
      </c>
      <c r="C3" s="4" t="s">
        <v>6</v>
      </c>
      <c r="D3" s="4">
        <v>4</v>
      </c>
      <c r="E3" s="4">
        <v>82</v>
      </c>
      <c r="F3" s="7" t="str">
        <f t="shared" ref="F3:F9" si="0">IF(NOT(C3="SALES"),"TRUE","FALES")</f>
        <v>FALES</v>
      </c>
      <c r="G3" t="str">
        <f t="shared" ref="G3:G9" si="1">IF(NOT(C3="SALES"),"TRUE","FALSE")</f>
        <v>FALSE</v>
      </c>
      <c r="J3" t="s">
        <v>42</v>
      </c>
    </row>
    <row r="4" spans="1:32" x14ac:dyDescent="0.3">
      <c r="A4" s="4">
        <v>103</v>
      </c>
      <c r="B4" s="4" t="s">
        <v>9</v>
      </c>
      <c r="C4" s="4" t="s">
        <v>10</v>
      </c>
      <c r="D4" s="4">
        <v>8</v>
      </c>
      <c r="E4" s="4">
        <v>55</v>
      </c>
      <c r="F4" s="7" t="str">
        <f t="shared" si="0"/>
        <v>TRUE</v>
      </c>
      <c r="G4" t="str">
        <f t="shared" si="1"/>
        <v>TRUE</v>
      </c>
      <c r="J4" t="s">
        <v>43</v>
      </c>
    </row>
    <row r="5" spans="1:32" x14ac:dyDescent="0.3">
      <c r="A5" s="4">
        <v>104</v>
      </c>
      <c r="B5" s="4" t="s">
        <v>11</v>
      </c>
      <c r="C5" s="4" t="s">
        <v>6</v>
      </c>
      <c r="D5" s="4">
        <v>0.5</v>
      </c>
      <c r="E5" s="4">
        <v>38</v>
      </c>
      <c r="F5" s="7" t="str">
        <f t="shared" si="0"/>
        <v>FALES</v>
      </c>
      <c r="G5" t="str">
        <f t="shared" si="1"/>
        <v>FALSE</v>
      </c>
    </row>
    <row r="6" spans="1:32" x14ac:dyDescent="0.3">
      <c r="A6" s="4">
        <v>105</v>
      </c>
      <c r="B6" s="4" t="s">
        <v>12</v>
      </c>
      <c r="C6" s="4" t="s">
        <v>13</v>
      </c>
      <c r="D6" s="4">
        <v>15</v>
      </c>
      <c r="E6" s="4">
        <v>91</v>
      </c>
      <c r="F6" s="7" t="str">
        <f t="shared" si="0"/>
        <v>TRUE</v>
      </c>
      <c r="G6" t="str">
        <f t="shared" si="1"/>
        <v>TRUE</v>
      </c>
      <c r="J6" s="8"/>
    </row>
    <row r="7" spans="1:32" x14ac:dyDescent="0.3">
      <c r="A7" s="4">
        <v>106</v>
      </c>
      <c r="B7" s="4" t="s">
        <v>14</v>
      </c>
      <c r="C7" s="4" t="s">
        <v>6</v>
      </c>
      <c r="D7" s="4">
        <v>3</v>
      </c>
      <c r="E7" s="4">
        <v>74</v>
      </c>
      <c r="F7" s="7" t="str">
        <f t="shared" si="0"/>
        <v>FALES</v>
      </c>
      <c r="G7" t="str">
        <f t="shared" si="1"/>
        <v>FALSE</v>
      </c>
    </row>
    <row r="8" spans="1:32" x14ac:dyDescent="0.3">
      <c r="A8" s="4">
        <v>107</v>
      </c>
      <c r="B8" s="4" t="s">
        <v>15</v>
      </c>
      <c r="C8" s="4" t="s">
        <v>10</v>
      </c>
      <c r="D8" s="4">
        <v>6</v>
      </c>
      <c r="E8" s="4">
        <v>44</v>
      </c>
      <c r="F8" s="7" t="str">
        <f t="shared" si="0"/>
        <v>TRUE</v>
      </c>
      <c r="G8" t="str">
        <f t="shared" si="1"/>
        <v>TRUE</v>
      </c>
    </row>
    <row r="9" spans="1:32" x14ac:dyDescent="0.3">
      <c r="A9" s="4">
        <v>108</v>
      </c>
      <c r="B9" s="4" t="s">
        <v>16</v>
      </c>
      <c r="C9" s="4" t="s">
        <v>13</v>
      </c>
      <c r="D9" s="4">
        <v>2</v>
      </c>
      <c r="E9" s="4">
        <v>59</v>
      </c>
      <c r="F9" s="7" t="str">
        <f t="shared" si="0"/>
        <v>TRUE</v>
      </c>
      <c r="G9" t="str">
        <f t="shared" si="1"/>
        <v>TRUE</v>
      </c>
    </row>
    <row r="13" spans="1:32" x14ac:dyDescent="0.3">
      <c r="F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87DB-6832-4664-A401-4F9D70C4ED97}">
  <dimension ref="A1:AF23"/>
  <sheetViews>
    <sheetView tabSelected="1" workbookViewId="0">
      <selection activeCell="G2" sqref="G2:G9"/>
    </sheetView>
  </sheetViews>
  <sheetFormatPr defaultRowHeight="14.4" x14ac:dyDescent="0.3"/>
  <cols>
    <col min="1" max="1" width="7.5546875" bestFit="1" customWidth="1"/>
    <col min="3" max="3" width="11.5546875" bestFit="1" customWidth="1"/>
    <col min="4" max="4" width="13.6640625" bestFit="1" customWidth="1"/>
    <col min="5" max="5" width="13.109375" customWidth="1"/>
    <col min="6" max="6" width="20.109375" bestFit="1" customWidth="1"/>
    <col min="7" max="7" width="10.6640625" bestFit="1" customWidth="1"/>
    <col min="10" max="10" width="28.5546875" bestFit="1" customWidth="1"/>
  </cols>
  <sheetData>
    <row r="1" spans="1:32" x14ac:dyDescent="0.3">
      <c r="A1" s="5" t="s">
        <v>17</v>
      </c>
      <c r="B1" s="5" t="s">
        <v>1</v>
      </c>
      <c r="C1" s="5" t="s">
        <v>2</v>
      </c>
      <c r="D1" s="5" t="s">
        <v>30</v>
      </c>
      <c r="E1" s="5" t="s">
        <v>31</v>
      </c>
      <c r="F1" s="5" t="s">
        <v>44</v>
      </c>
      <c r="G1" s="5" t="s">
        <v>44</v>
      </c>
    </row>
    <row r="2" spans="1:32" ht="16.5" customHeight="1" x14ac:dyDescent="0.3">
      <c r="A2" s="4">
        <v>101</v>
      </c>
      <c r="B2" s="4" t="s">
        <v>5</v>
      </c>
      <c r="C2" s="4" t="s">
        <v>6</v>
      </c>
      <c r="D2" s="4">
        <v>35000</v>
      </c>
      <c r="E2" s="4">
        <v>40000</v>
      </c>
      <c r="F2" s="19">
        <f>IFERROR(E2/D2,0)</f>
        <v>1.1428571428571428</v>
      </c>
      <c r="G2" s="18">
        <f>IFERROR(E2/D2,0)</f>
        <v>1.1428571428571428</v>
      </c>
      <c r="J2" s="1" t="s">
        <v>45</v>
      </c>
      <c r="AF2" t="str">
        <f>IF(OR(E2&lt;50,D2&lt;1),"YES","NO")</f>
        <v>NO</v>
      </c>
    </row>
    <row r="3" spans="1:32" x14ac:dyDescent="0.3">
      <c r="A3" s="4">
        <v>102</v>
      </c>
      <c r="B3" s="4" t="s">
        <v>8</v>
      </c>
      <c r="C3" s="4" t="s">
        <v>6</v>
      </c>
      <c r="D3" s="4">
        <v>52000</v>
      </c>
      <c r="E3" s="4">
        <v>50000</v>
      </c>
      <c r="F3" s="19">
        <f t="shared" ref="F3:F9" si="0">IFERROR(E3/D3,0)</f>
        <v>0.96153846153846156</v>
      </c>
      <c r="G3" s="18">
        <f t="shared" ref="G3:G9" si="1">IFERROR(E3/D3,0)</f>
        <v>0.96153846153846156</v>
      </c>
      <c r="J3" t="s">
        <v>46</v>
      </c>
    </row>
    <row r="4" spans="1:32" x14ac:dyDescent="0.3">
      <c r="A4" s="4">
        <v>103</v>
      </c>
      <c r="B4" s="4" t="s">
        <v>9</v>
      </c>
      <c r="C4" s="4" t="s">
        <v>10</v>
      </c>
      <c r="D4" s="4">
        <v>0</v>
      </c>
      <c r="E4" s="4">
        <v>30000</v>
      </c>
      <c r="F4" s="19">
        <f t="shared" si="0"/>
        <v>0</v>
      </c>
      <c r="G4" s="18">
        <f t="shared" si="1"/>
        <v>0</v>
      </c>
      <c r="J4" t="s">
        <v>47</v>
      </c>
    </row>
    <row r="5" spans="1:32" x14ac:dyDescent="0.3">
      <c r="A5" s="4">
        <v>104</v>
      </c>
      <c r="B5" s="4" t="s">
        <v>11</v>
      </c>
      <c r="C5" s="4" t="s">
        <v>6</v>
      </c>
      <c r="D5" s="4">
        <v>15000</v>
      </c>
      <c r="E5" s="4">
        <v>20000</v>
      </c>
      <c r="F5" s="19">
        <f t="shared" si="0"/>
        <v>1.3333333333333333</v>
      </c>
      <c r="G5" s="18">
        <f t="shared" si="1"/>
        <v>1.3333333333333333</v>
      </c>
    </row>
    <row r="6" spans="1:32" x14ac:dyDescent="0.3">
      <c r="A6" s="4">
        <v>105</v>
      </c>
      <c r="B6" s="4" t="s">
        <v>12</v>
      </c>
      <c r="C6" s="4" t="s">
        <v>13</v>
      </c>
      <c r="D6" s="4">
        <v>70000</v>
      </c>
      <c r="E6" s="4">
        <v>60000</v>
      </c>
      <c r="F6" s="19">
        <f t="shared" si="0"/>
        <v>0.8571428571428571</v>
      </c>
      <c r="G6" s="18">
        <f t="shared" si="1"/>
        <v>0.8571428571428571</v>
      </c>
      <c r="J6" s="8"/>
    </row>
    <row r="7" spans="1:32" x14ac:dyDescent="0.3">
      <c r="A7" s="4">
        <v>106</v>
      </c>
      <c r="B7" s="4" t="s">
        <v>14</v>
      </c>
      <c r="C7" s="4" t="s">
        <v>6</v>
      </c>
      <c r="D7" s="4">
        <v>48000</v>
      </c>
      <c r="E7" s="4">
        <v>50000</v>
      </c>
      <c r="F7" s="19">
        <f t="shared" si="0"/>
        <v>1.0416666666666667</v>
      </c>
      <c r="G7" s="18">
        <f t="shared" si="1"/>
        <v>1.0416666666666667</v>
      </c>
    </row>
    <row r="8" spans="1:32" x14ac:dyDescent="0.3">
      <c r="A8" s="4">
        <v>107</v>
      </c>
      <c r="B8" s="4" t="s">
        <v>15</v>
      </c>
      <c r="C8" s="4" t="s">
        <v>10</v>
      </c>
      <c r="D8" s="4">
        <v>0</v>
      </c>
      <c r="E8" s="4">
        <v>25000</v>
      </c>
      <c r="F8" s="19">
        <f t="shared" si="0"/>
        <v>0</v>
      </c>
      <c r="G8" s="18">
        <f t="shared" si="1"/>
        <v>0</v>
      </c>
    </row>
    <row r="9" spans="1:32" x14ac:dyDescent="0.3">
      <c r="A9" s="4">
        <v>108</v>
      </c>
      <c r="B9" s="4" t="s">
        <v>16</v>
      </c>
      <c r="C9" s="4" t="s">
        <v>13</v>
      </c>
      <c r="D9" s="4">
        <v>30000</v>
      </c>
      <c r="E9" s="4">
        <v>30000</v>
      </c>
      <c r="F9" s="19">
        <f t="shared" si="0"/>
        <v>1</v>
      </c>
      <c r="G9" s="18">
        <f t="shared" si="1"/>
        <v>1</v>
      </c>
    </row>
    <row r="13" spans="1:32" x14ac:dyDescent="0.3">
      <c r="F13" s="2"/>
    </row>
    <row r="16" spans="1:32" x14ac:dyDescent="0.3">
      <c r="F16" s="18" t="e">
        <f>D16/C16</f>
        <v>#DIV/0!</v>
      </c>
      <c r="G16">
        <f>IFERROR(D16/C16,0)</f>
        <v>0</v>
      </c>
    </row>
    <row r="17" spans="6:7" x14ac:dyDescent="0.3">
      <c r="F17" s="18" t="e">
        <f t="shared" ref="F17:F23" si="2">D17/C17</f>
        <v>#DIV/0!</v>
      </c>
      <c r="G17">
        <f t="shared" ref="G17:G23" si="3">IFERROR(D17/C17,0)</f>
        <v>0</v>
      </c>
    </row>
    <row r="18" spans="6:7" x14ac:dyDescent="0.3">
      <c r="F18" s="18" t="e">
        <f t="shared" si="2"/>
        <v>#DIV/0!</v>
      </c>
      <c r="G18">
        <f t="shared" si="3"/>
        <v>0</v>
      </c>
    </row>
    <row r="19" spans="6:7" x14ac:dyDescent="0.3">
      <c r="F19" s="18" t="e">
        <f t="shared" si="2"/>
        <v>#DIV/0!</v>
      </c>
      <c r="G19">
        <f t="shared" si="3"/>
        <v>0</v>
      </c>
    </row>
    <row r="20" spans="6:7" x14ac:dyDescent="0.3">
      <c r="F20" s="18" t="e">
        <f t="shared" si="2"/>
        <v>#DIV/0!</v>
      </c>
      <c r="G20">
        <f t="shared" si="3"/>
        <v>0</v>
      </c>
    </row>
    <row r="21" spans="6:7" x14ac:dyDescent="0.3">
      <c r="F21" s="18" t="e">
        <f t="shared" si="2"/>
        <v>#DIV/0!</v>
      </c>
      <c r="G21">
        <f t="shared" si="3"/>
        <v>0</v>
      </c>
    </row>
    <row r="22" spans="6:7" x14ac:dyDescent="0.3">
      <c r="F22" s="18" t="e">
        <f t="shared" si="2"/>
        <v>#DIV/0!</v>
      </c>
      <c r="G22">
        <f t="shared" si="3"/>
        <v>0</v>
      </c>
    </row>
    <row r="23" spans="6:7" x14ac:dyDescent="0.3">
      <c r="F23" s="18" t="e">
        <f t="shared" si="2"/>
        <v>#DIV/0!</v>
      </c>
      <c r="G23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sudhanshuyadav1231@outlook.com</cp:lastModifiedBy>
  <cp:revision/>
  <dcterms:created xsi:type="dcterms:W3CDTF">2025-12-20T14:10:46Z</dcterms:created>
  <dcterms:modified xsi:type="dcterms:W3CDTF">2026-10-27T11:25:07Z</dcterms:modified>
  <cp:category/>
  <cp:contentStatus/>
</cp:coreProperties>
</file>