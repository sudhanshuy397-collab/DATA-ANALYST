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udha\OneDrive\Desktop\DATA ANALYST\EXCEL\"/>
    </mc:Choice>
  </mc:AlternateContent>
  <xr:revisionPtr revIDLastSave="0" documentId="13_ncr:1_{ECD2DCA4-EBB3-46FF-A7F3-270468E12D2C}" xr6:coauthVersionLast="47" xr6:coauthVersionMax="47" xr10:uidLastSave="{00000000-0000-0000-0000-000000000000}"/>
  <bookViews>
    <workbookView xWindow="-96" yWindow="0" windowWidth="14016" windowHeight="130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2" i="1"/>
  <c r="R6" i="1"/>
  <c r="R3" i="1"/>
  <c r="R4" i="1"/>
  <c r="R5" i="1"/>
  <c r="R7" i="1"/>
  <c r="R8" i="1"/>
  <c r="R9" i="1"/>
  <c r="R10" i="1"/>
  <c r="P2" i="1" a="1"/>
  <c r="R2" i="1" s="1"/>
  <c r="N2" i="1" a="1"/>
  <c r="M2" i="1" a="1"/>
  <c r="L2" i="1" a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C20" i="1"/>
  <c r="D19" i="1"/>
  <c r="C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<sst xmlns="http://schemas.openxmlformats.org/spreadsheetml/2006/main" count="58" uniqueCount="48">
  <si>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</si>
  <si>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</si>
  <si>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</si>
  <si>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</si>
  <si>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</si>
  <si>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</si>
  <si>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</si>
  <si>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</si>
  <si>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</si>
  <si>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</si>
  <si>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</si>
  <si>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</si>
  <si>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</si>
  <si>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</si>
  <si>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</si>
  <si>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</si>
  <si>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</si>
  <si>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</si>
  <si>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</si>
  <si>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</si>
  <si>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</si>
  <si>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</si>
  <si>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</si>
  <si>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</si>
  <si>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</si>
  <si>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8/30/2017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</si>
  <si>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</si>
  <si>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</si>
  <si>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</si>
  <si>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</si>
  <si>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</si>
  <si>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</si>
  <si>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</si>
  <si>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</si>
  <si>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4/22/2015</t>
  </si>
  <si>
    <t>Kevin</t>
  </si>
  <si>
    <t>Malone</t>
  </si>
  <si>
    <t>9/14/2011</t>
  </si>
  <si>
    <t>MAX</t>
  </si>
  <si>
    <t>MIN</t>
  </si>
  <si>
    <t>IF</t>
  </si>
  <si>
    <t>LENGTH NAME</t>
  </si>
  <si>
    <t>RIGHT</t>
  </si>
  <si>
    <t>LEFT</t>
  </si>
  <si>
    <t>TEXT</t>
  </si>
  <si>
    <t>substitute with no instance</t>
  </si>
  <si>
    <t>no f days</t>
  </si>
  <si>
    <t>network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</si>
</sst>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topLeftCell="J1" workbookViewId="0">
      <selection activeCell="S2" sqref="S2:S10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4" bestFit="1" customWidth="1"/>
    <col min="5" max="5" width="6.88671875" bestFit="1" customWidth="1"/>
    <col min="6" max="6" width="15.77734375" bestFit="1" customWidth="1"/>
    <col min="7" max="7" width="6" bestFit="1" customWidth="1"/>
    <col min="8" max="10" width="10.33203125" bestFit="1" customWidth="1"/>
    <col min="11" max="11" width="13.33203125" bestFit="1" customWidth="1"/>
    <col min="14" max="15" width="10.5546875" bestFit="1" customWidth="1"/>
    <col min="16" max="16" width="23.109375" bestFit="1" customWidth="1"/>
    <col min="17" max="17" width="10.33203125" bestFit="1" customWidth="1"/>
    <col min="18" max="18" width="8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40</v>
      </c>
      <c r="K1" s="1" t="s">
        <v>41</v>
      </c>
      <c r="L1" s="1" t="s">
        <v>43</v>
      </c>
      <c r="M1" s="1" t="s">
        <v>42</v>
      </c>
      <c r="N1" s="1" t="s">
        <v>44</v>
      </c>
      <c r="P1" s="1" t="s">
        <v>45</v>
      </c>
      <c r="R1" s="1" t="s">
        <v>46</v>
      </c>
      <c r="S1" t="s">
        <v>47</v>
      </c>
    </row>
    <row r="2" spans="1:19" x14ac:dyDescent="0.3">
      <c r="A2" s="1">
        <v>1001</v>
      </c>
      <c r="B2" s="1" t="s">
        <v>9</v>
      </c>
      <c r="C2" s="1" t="s">
        <v>10</v>
      </c>
      <c r="D2" s="1">
        <v>30</v>
      </c>
      <c r="E2" s="1" t="s">
        <v>11</v>
      </c>
      <c r="F2" s="1" t="s">
        <v>12</v>
      </c>
      <c r="G2" s="1">
        <v>45000</v>
      </c>
      <c r="H2" s="2">
        <v>36933</v>
      </c>
      <c r="I2" s="2">
        <v>42164</v>
      </c>
      <c r="J2" t="str">
        <f>IF(D2&gt;30,"OLD","YOUNG")</f>
        <v>YOUNG</v>
      </c>
      <c r="K2" s="4">
        <f>LEN(B2)</f>
        <v>3</v>
      </c>
      <c r="L2" t="str" cm="1">
        <f t="array" ref="L2:L10">LEFT(B2:B10,3)</f>
        <v>Jim</v>
      </c>
      <c r="M2" t="str" cm="1">
        <f t="array" ref="M2:M10">RIGHT(C2:C10,5)</f>
        <v>lpert</v>
      </c>
      <c r="N2" s="3" t="str" cm="1">
        <f t="array" ref="N2:O10">TEXT(H2:I10,"dd/mm/yyyy")</f>
        <v>11/02/2001</v>
      </c>
      <c r="O2" s="3" t="str">
        <v>09/06/2015</v>
      </c>
      <c r="P2" s="3" t="str" cm="1">
        <f t="array" ref="P2:Q10">SUBSTITUTE(_xlfn.ANCHORARRAY(N2),"/","-")</f>
        <v>11-02-2001</v>
      </c>
      <c r="Q2" s="3" t="str">
        <v>09-06-2015</v>
      </c>
      <c r="R2">
        <f>_xlfn.DAYS(Q2,P2)</f>
        <v>5231</v>
      </c>
      <c r="S2">
        <f>NETWORKDAYS(P2,Q2,)</f>
        <v>3737</v>
      </c>
    </row>
    <row r="3" spans="1:19" x14ac:dyDescent="0.3">
      <c r="A3" s="1">
        <v>1002</v>
      </c>
      <c r="B3" s="1" t="s">
        <v>13</v>
      </c>
      <c r="C3" s="1" t="s">
        <v>14</v>
      </c>
      <c r="D3" s="1">
        <v>30</v>
      </c>
      <c r="E3" s="1" t="s">
        <v>15</v>
      </c>
      <c r="F3" s="1" t="s">
        <v>16</v>
      </c>
      <c r="G3" s="1">
        <v>36000</v>
      </c>
      <c r="H3" s="2">
        <v>36229</v>
      </c>
      <c r="I3" s="2">
        <v>42287</v>
      </c>
      <c r="J3" t="str">
        <f t="shared" ref="J3:J10" si="0">IF(D3&gt;30,"OLD","YOUNG")</f>
        <v>YOUNG</v>
      </c>
      <c r="K3" s="4">
        <f t="shared" ref="K3:K10" si="1">LEN(B3)</f>
        <v>3</v>
      </c>
      <c r="L3" t="str">
        <v>Pam</v>
      </c>
      <c r="M3" t="str">
        <v>asley</v>
      </c>
      <c r="N3" s="3" t="str">
        <v>10/03/1999</v>
      </c>
      <c r="O3" s="3" t="str">
        <v>10/10/2015</v>
      </c>
      <c r="P3" s="3" t="str">
        <v>10-03-1999</v>
      </c>
      <c r="Q3" s="3" t="str">
        <v>10-10-2015</v>
      </c>
      <c r="R3">
        <f t="shared" ref="R3:R10" si="2">_xlfn.DAYS(Q3,P3)</f>
        <v>6058</v>
      </c>
      <c r="S3">
        <f t="shared" ref="S3:S10" si="3">NETWORKDAYS(P3,Q3,)</f>
        <v>4328</v>
      </c>
    </row>
    <row r="4" spans="1:19" x14ac:dyDescent="0.3">
      <c r="A4" s="1">
        <v>1003</v>
      </c>
      <c r="B4" s="1" t="s">
        <v>17</v>
      </c>
      <c r="C4" s="1" t="s">
        <v>18</v>
      </c>
      <c r="D4" s="1">
        <v>29</v>
      </c>
      <c r="E4" s="1" t="s">
        <v>11</v>
      </c>
      <c r="F4" s="1" t="s">
        <v>12</v>
      </c>
      <c r="G4" s="1">
        <v>63000</v>
      </c>
      <c r="H4" s="2">
        <v>36623</v>
      </c>
      <c r="I4" s="2">
        <v>42956</v>
      </c>
      <c r="J4" t="str">
        <f t="shared" si="0"/>
        <v>YOUNG</v>
      </c>
      <c r="K4" s="4">
        <f t="shared" si="1"/>
        <v>6</v>
      </c>
      <c r="L4" t="str">
        <v>Dwi</v>
      </c>
      <c r="M4" t="str">
        <v>hrute</v>
      </c>
      <c r="N4" s="3" t="str">
        <v>07/04/2000</v>
      </c>
      <c r="O4" s="3" t="str">
        <v>09/08/2017</v>
      </c>
      <c r="P4" s="3" t="str">
        <v>07-04-2000</v>
      </c>
      <c r="Q4" s="3" t="str">
        <v>09-08-2017</v>
      </c>
      <c r="R4">
        <f t="shared" si="2"/>
        <v>6333</v>
      </c>
      <c r="S4">
        <f t="shared" si="3"/>
        <v>4524</v>
      </c>
    </row>
    <row r="5" spans="1:19" x14ac:dyDescent="0.3">
      <c r="A5" s="1">
        <v>1004</v>
      </c>
      <c r="B5" s="1" t="s">
        <v>19</v>
      </c>
      <c r="C5" s="1" t="s">
        <v>20</v>
      </c>
      <c r="D5" s="1">
        <v>31</v>
      </c>
      <c r="E5" s="1" t="s">
        <v>15</v>
      </c>
      <c r="F5" s="1" t="s">
        <v>21</v>
      </c>
      <c r="G5" s="1">
        <v>47000</v>
      </c>
      <c r="H5" s="2">
        <v>36647</v>
      </c>
      <c r="I5" s="2">
        <v>42075</v>
      </c>
      <c r="J5" t="str">
        <f t="shared" si="0"/>
        <v>OLD</v>
      </c>
      <c r="K5" s="4">
        <f t="shared" si="1"/>
        <v>6</v>
      </c>
      <c r="L5" t="str">
        <v>Ang</v>
      </c>
      <c r="M5" t="str">
        <v>artin</v>
      </c>
      <c r="N5" s="3" t="str">
        <v>01/05/2000</v>
      </c>
      <c r="O5" s="3" t="str">
        <v>12/03/2015</v>
      </c>
      <c r="P5" s="3" t="str">
        <v>01-05-2000</v>
      </c>
      <c r="Q5" s="3" t="str">
        <v>12-03-2015</v>
      </c>
      <c r="R5">
        <f t="shared" si="2"/>
        <v>5428</v>
      </c>
      <c r="S5">
        <f t="shared" si="3"/>
        <v>3879</v>
      </c>
    </row>
    <row r="6" spans="1:19" x14ac:dyDescent="0.3">
      <c r="A6" s="1">
        <v>1005</v>
      </c>
      <c r="B6" s="1" t="s">
        <v>22</v>
      </c>
      <c r="C6" s="1" t="s">
        <v>23</v>
      </c>
      <c r="D6" s="1">
        <v>32</v>
      </c>
      <c r="E6" s="1" t="s">
        <v>11</v>
      </c>
      <c r="F6" s="1" t="s">
        <v>24</v>
      </c>
      <c r="G6" s="1">
        <v>50000</v>
      </c>
      <c r="H6" s="2">
        <v>37047</v>
      </c>
      <c r="I6" s="2" t="s">
        <v>25</v>
      </c>
      <c r="J6" t="str">
        <f t="shared" si="0"/>
        <v>OLD</v>
      </c>
      <c r="K6" s="4">
        <f t="shared" si="1"/>
        <v>4</v>
      </c>
      <c r="L6" t="str">
        <v>Tob</v>
      </c>
      <c r="M6" t="str">
        <v>erson</v>
      </c>
      <c r="N6" s="3" t="str">
        <v>05/06/2001</v>
      </c>
      <c r="O6" s="3" t="str">
        <v>8/30/2017</v>
      </c>
      <c r="P6" s="3" t="str">
        <v>05-06-2001</v>
      </c>
      <c r="Q6" s="3" t="str">
        <v>8-30-2017</v>
      </c>
      <c r="R6" t="e">
        <f>_xlfn.DAYS(Q6,P6)</f>
        <v>#VALUE!</v>
      </c>
      <c r="S6" t="e">
        <f t="shared" si="3"/>
        <v>#VALUE!</v>
      </c>
    </row>
    <row r="7" spans="1:19" x14ac:dyDescent="0.3">
      <c r="A7" s="1">
        <v>1006</v>
      </c>
      <c r="B7" s="1" t="s">
        <v>26</v>
      </c>
      <c r="C7" s="1" t="s">
        <v>27</v>
      </c>
      <c r="D7" s="1">
        <v>35</v>
      </c>
      <c r="E7" s="1" t="s">
        <v>11</v>
      </c>
      <c r="F7" s="1" t="s">
        <v>28</v>
      </c>
      <c r="G7" s="1">
        <v>65000</v>
      </c>
      <c r="H7" s="2">
        <v>34892</v>
      </c>
      <c r="I7" s="2">
        <v>41587</v>
      </c>
      <c r="J7" t="str">
        <f t="shared" si="0"/>
        <v>OLD</v>
      </c>
      <c r="K7" s="4">
        <f t="shared" si="1"/>
        <v>7</v>
      </c>
      <c r="L7" t="str">
        <v>Mic</v>
      </c>
      <c r="M7" t="str">
        <v>Scott</v>
      </c>
      <c r="N7" s="3" t="str">
        <v>12/07/1995</v>
      </c>
      <c r="O7" s="3" t="str">
        <v>09/11/2013</v>
      </c>
      <c r="P7" s="3" t="str">
        <v>12-07-1995</v>
      </c>
      <c r="Q7" s="3" t="str">
        <v>09-11-2013</v>
      </c>
      <c r="R7">
        <f t="shared" si="2"/>
        <v>6695</v>
      </c>
      <c r="S7">
        <f t="shared" si="3"/>
        <v>4783</v>
      </c>
    </row>
    <row r="8" spans="1:19" x14ac:dyDescent="0.3">
      <c r="A8" s="1">
        <v>1007</v>
      </c>
      <c r="B8" s="1" t="s">
        <v>29</v>
      </c>
      <c r="C8" s="1" t="s">
        <v>30</v>
      </c>
      <c r="D8" s="1">
        <v>32</v>
      </c>
      <c r="E8" s="1" t="s">
        <v>15</v>
      </c>
      <c r="F8" s="1" t="s">
        <v>31</v>
      </c>
      <c r="G8" s="1">
        <v>41000</v>
      </c>
      <c r="H8" s="2">
        <v>37844</v>
      </c>
      <c r="I8" s="2">
        <v>41374</v>
      </c>
      <c r="J8" t="str">
        <f t="shared" si="0"/>
        <v>OLD</v>
      </c>
      <c r="K8" s="4">
        <f t="shared" si="1"/>
        <v>8</v>
      </c>
      <c r="L8" t="str">
        <v>Mer</v>
      </c>
      <c r="M8" t="str">
        <v>almer</v>
      </c>
      <c r="N8" s="3" t="str">
        <v>11/08/2003</v>
      </c>
      <c r="O8" s="3" t="str">
        <v>10/04/2013</v>
      </c>
      <c r="P8" s="3" t="str">
        <v>11-08-2003</v>
      </c>
      <c r="Q8" s="3" t="str">
        <v>10-04-2013</v>
      </c>
      <c r="R8">
        <f t="shared" si="2"/>
        <v>3530</v>
      </c>
      <c r="S8">
        <f t="shared" si="3"/>
        <v>2523</v>
      </c>
    </row>
    <row r="9" spans="1:19" x14ac:dyDescent="0.3">
      <c r="A9" s="1">
        <v>1008</v>
      </c>
      <c r="B9" s="1" t="s">
        <v>32</v>
      </c>
      <c r="C9" s="1" t="s">
        <v>33</v>
      </c>
      <c r="D9" s="1">
        <v>38</v>
      </c>
      <c r="E9" s="1" t="s">
        <v>11</v>
      </c>
      <c r="F9" s="1" t="s">
        <v>12</v>
      </c>
      <c r="G9" s="1">
        <v>48000</v>
      </c>
      <c r="H9" s="2">
        <v>37505</v>
      </c>
      <c r="I9" s="2" t="s">
        <v>34</v>
      </c>
      <c r="J9" t="str">
        <f t="shared" si="0"/>
        <v>OLD</v>
      </c>
      <c r="K9" s="4">
        <f t="shared" si="1"/>
        <v>7</v>
      </c>
      <c r="L9" t="str">
        <v>Sta</v>
      </c>
      <c r="M9" t="str">
        <v>udson</v>
      </c>
      <c r="N9" s="3" t="str">
        <v>06/09/2002</v>
      </c>
      <c r="O9" s="3" t="str">
        <v>4/22/2015</v>
      </c>
      <c r="P9" s="3" t="str">
        <v>06-09-2002</v>
      </c>
      <c r="Q9" s="5" t="str">
        <v>4-22-2015</v>
      </c>
      <c r="R9" t="e">
        <f t="shared" si="2"/>
        <v>#VALUE!</v>
      </c>
      <c r="S9" t="e">
        <f t="shared" si="3"/>
        <v>#VALUE!</v>
      </c>
    </row>
    <row r="10" spans="1:19" x14ac:dyDescent="0.3">
      <c r="A10" s="1">
        <v>1009</v>
      </c>
      <c r="B10" s="1" t="s">
        <v>35</v>
      </c>
      <c r="C10" s="1" t="s">
        <v>36</v>
      </c>
      <c r="D10" s="1">
        <v>31</v>
      </c>
      <c r="E10" s="1" t="s">
        <v>11</v>
      </c>
      <c r="F10" s="1" t="s">
        <v>21</v>
      </c>
      <c r="G10" s="1">
        <v>42000</v>
      </c>
      <c r="H10" s="2">
        <v>37902</v>
      </c>
      <c r="I10" s="2" t="s">
        <v>37</v>
      </c>
      <c r="J10" t="str">
        <f t="shared" si="0"/>
        <v>OLD</v>
      </c>
      <c r="K10" s="4">
        <f t="shared" si="1"/>
        <v>5</v>
      </c>
      <c r="L10" t="str">
        <v>Kev</v>
      </c>
      <c r="M10" t="str">
        <v>alone</v>
      </c>
      <c r="N10" s="3" t="str">
        <v>08/10/2003</v>
      </c>
      <c r="O10" s="3" t="str">
        <v>9/14/2011</v>
      </c>
      <c r="P10" s="3" t="str">
        <v>08-10-2003</v>
      </c>
      <c r="Q10" s="3" t="str">
        <v>9-14-2011</v>
      </c>
      <c r="R10" t="e">
        <f t="shared" si="2"/>
        <v>#VALUE!</v>
      </c>
      <c r="S10" t="e">
        <f t="shared" si="3"/>
        <v>#VALUE!</v>
      </c>
    </row>
    <row r="18" spans="3:4" x14ac:dyDescent="0.3">
      <c r="C18" s="1" t="s">
        <v>38</v>
      </c>
      <c r="D18" s="1" t="s">
        <v>39</v>
      </c>
    </row>
    <row r="19" spans="3:4" x14ac:dyDescent="0.3">
      <c r="C19" s="3">
        <f>MAX(H2:H10)</f>
        <v>37902</v>
      </c>
      <c r="D19" s="3">
        <f>MIN(H2:H9)</f>
        <v>34892</v>
      </c>
    </row>
    <row r="20" spans="3:4" x14ac:dyDescent="0.3">
      <c r="C20">
        <f>MAX(G2:G10)</f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yadav</dc:creator>
  <cp:lastModifiedBy>sudhanshuyadav1231@outlook.com</cp:lastModifiedBy>
  <dcterms:created xsi:type="dcterms:W3CDTF">2015-06-05T18:17:20Z</dcterms:created>
  <dcterms:modified xsi:type="dcterms:W3CDTF">2026-10-27T11:03:58Z</dcterms:modified>
</cp:coreProperties>
</file>